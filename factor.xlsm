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fficebaz\Desktop\"/>
    </mc:Choice>
  </mc:AlternateContent>
  <xr:revisionPtr revIDLastSave="0" documentId="8_{018F298C-79BE-4F79-B5BC-0BBF5CD8A558}" xr6:coauthVersionLast="47" xr6:coauthVersionMax="47" xr10:uidLastSave="{00000000-0000-0000-0000-000000000000}"/>
  <bookViews>
    <workbookView xWindow="-93" yWindow="-93" windowWidth="25786" windowHeight="13866" activeTab="2" xr2:uid="{00000000-000D-0000-FFFF-FFFF00000000}"/>
  </bookViews>
  <sheets>
    <sheet name="kala" sheetId="3" r:id="rId1"/>
    <sheet name="Contact" sheetId="2" r:id="rId2"/>
    <sheet name="Invoice" sheetId="1" r:id="rId3"/>
    <sheet name="Invoice1" sheetId="5" r:id="rId4"/>
    <sheet name="invoice2" sheetId="4" r:id="rId5"/>
  </sheets>
  <functionGroups builtInGroupCount="19"/>
  <definedNames>
    <definedName name="kala">OFFSET(kala!$A$2,,,COUNTA(kala!$A$2:$A$31))</definedName>
    <definedName name="_xlnm.Print_Area" localSheetId="2">Invoice!$A$1:$I$53</definedName>
    <definedName name="_xlnm.Print_Area" localSheetId="4">invoice2!$A$1:$I$25</definedName>
    <definedName name="taraf">OFFSET(Contact!$A$2,,,COUNTA(Contact!$A$2:$A$49))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1" l="1"/>
  <c r="I33" i="1"/>
  <c r="B34" i="1"/>
  <c r="I34" i="1"/>
  <c r="B35" i="1"/>
  <c r="B36" i="1"/>
  <c r="I36" i="1"/>
  <c r="B37" i="1"/>
  <c r="I37" i="1"/>
  <c r="B31" i="1"/>
  <c r="I31" i="1"/>
  <c r="B32" i="1"/>
  <c r="I32" i="1"/>
  <c r="I19" i="1"/>
  <c r="H12" i="4"/>
  <c r="H13" i="4"/>
  <c r="H14" i="4"/>
  <c r="H15" i="4"/>
  <c r="H11" i="4"/>
  <c r="G12" i="4"/>
  <c r="G13" i="4"/>
  <c r="G14" i="4"/>
  <c r="G15" i="4"/>
  <c r="G11" i="4"/>
  <c r="F12" i="4"/>
  <c r="F13" i="4"/>
  <c r="F14" i="4"/>
  <c r="F15" i="4"/>
  <c r="F11" i="4"/>
  <c r="C12" i="4"/>
  <c r="C13" i="4"/>
  <c r="C14" i="4"/>
  <c r="C15" i="4"/>
  <c r="C11" i="4"/>
  <c r="D17" i="4"/>
  <c r="I18" i="4"/>
  <c r="H3" i="4"/>
  <c r="G13" i="5"/>
  <c r="G14" i="5"/>
  <c r="G15" i="5"/>
  <c r="G16" i="5"/>
  <c r="G17" i="5"/>
  <c r="G18" i="5"/>
  <c r="G19" i="5"/>
  <c r="G20" i="5"/>
  <c r="G12" i="5"/>
  <c r="E13" i="5"/>
  <c r="E14" i="5"/>
  <c r="I14" i="5" s="1"/>
  <c r="Q14" i="5" s="1"/>
  <c r="E15" i="5"/>
  <c r="E16" i="5"/>
  <c r="E17" i="5"/>
  <c r="I17" i="5" s="1"/>
  <c r="Q17" i="5" s="1"/>
  <c r="T17" i="5" s="1"/>
  <c r="E18" i="5"/>
  <c r="E19" i="5"/>
  <c r="E20" i="5"/>
  <c r="E12" i="5"/>
  <c r="B13" i="5"/>
  <c r="B14" i="5"/>
  <c r="B15" i="5"/>
  <c r="B16" i="5"/>
  <c r="B17" i="5"/>
  <c r="B18" i="5"/>
  <c r="B19" i="5"/>
  <c r="B20" i="5"/>
  <c r="B12" i="5"/>
  <c r="D22" i="5"/>
  <c r="A8" i="5"/>
  <c r="A5" i="5"/>
  <c r="I7" i="4"/>
  <c r="I5" i="4"/>
  <c r="I3" i="4"/>
  <c r="I14" i="1"/>
  <c r="I12" i="1"/>
  <c r="H5" i="4" s="1"/>
  <c r="I10" i="1"/>
  <c r="E8" i="5" s="1"/>
  <c r="B19" i="1"/>
  <c r="B12" i="4" s="1"/>
  <c r="B20" i="1"/>
  <c r="B13" i="4" s="1"/>
  <c r="B21" i="1"/>
  <c r="B14" i="4" s="1"/>
  <c r="B22" i="1"/>
  <c r="B15" i="4" s="1"/>
  <c r="B23" i="1"/>
  <c r="B24" i="1"/>
  <c r="B25" i="1"/>
  <c r="B26" i="1"/>
  <c r="B27" i="1"/>
  <c r="B28" i="1"/>
  <c r="B29" i="1"/>
  <c r="B30" i="1"/>
  <c r="B18" i="1"/>
  <c r="B11" i="4" s="1"/>
  <c r="I18" i="1"/>
  <c r="C14" i="1"/>
  <c r="G7" i="4" s="1"/>
  <c r="D12" i="1"/>
  <c r="Q8" i="5" s="1"/>
  <c r="I7" i="1"/>
  <c r="E6" i="5" s="1"/>
  <c r="I5" i="1"/>
  <c r="Q6" i="5" s="1"/>
  <c r="I3" i="1"/>
  <c r="E5" i="5" s="1"/>
  <c r="C7" i="1"/>
  <c r="A6" i="5" s="1"/>
  <c r="D5" i="1"/>
  <c r="Q5" i="5" s="1"/>
  <c r="I20" i="1"/>
  <c r="I21" i="1"/>
  <c r="I22" i="1"/>
  <c r="I23" i="1"/>
  <c r="I24" i="1"/>
  <c r="I25" i="1"/>
  <c r="I26" i="1"/>
  <c r="I27" i="1"/>
  <c r="I28" i="1"/>
  <c r="I29" i="1"/>
  <c r="I30" i="1"/>
  <c r="I1" i="1"/>
  <c r="I13" i="4" l="1"/>
  <c r="I15" i="5"/>
  <c r="Q15" i="5" s="1"/>
  <c r="I20" i="5"/>
  <c r="Q20" i="5" s="1"/>
  <c r="T20" i="5" s="1"/>
  <c r="I11" i="4"/>
  <c r="I12" i="5"/>
  <c r="Q12" i="5" s="1"/>
  <c r="T12" i="5" s="1"/>
  <c r="I13" i="5"/>
  <c r="Q13" i="5" s="1"/>
  <c r="T13" i="5" s="1"/>
  <c r="W13" i="5" s="1"/>
  <c r="I14" i="4"/>
  <c r="AA1" i="5"/>
  <c r="AA3" i="5"/>
  <c r="I1" i="4"/>
  <c r="I12" i="4"/>
  <c r="I16" i="5"/>
  <c r="Q16" i="5" s="1"/>
  <c r="T16" i="5" s="1"/>
  <c r="W16" i="5" s="1"/>
  <c r="I15" i="4"/>
  <c r="A9" i="5"/>
  <c r="I19" i="5"/>
  <c r="Q19" i="5" s="1"/>
  <c r="I18" i="5"/>
  <c r="Q18" i="5" s="1"/>
  <c r="T18" i="5" s="1"/>
  <c r="Q9" i="5"/>
  <c r="D5" i="4"/>
  <c r="B7" i="4"/>
  <c r="I38" i="1"/>
  <c r="I39" i="1" s="1"/>
  <c r="I17" i="4" s="1"/>
  <c r="T14" i="5"/>
  <c r="W14" i="5" s="1"/>
  <c r="T15" i="5"/>
  <c r="W15" i="5" s="1"/>
  <c r="W17" i="5"/>
  <c r="W12" i="5"/>
  <c r="I16" i="4" l="1"/>
  <c r="I19" i="4" s="1"/>
  <c r="W20" i="5"/>
  <c r="W18" i="5"/>
  <c r="Q21" i="5"/>
  <c r="T19" i="5"/>
  <c r="I21" i="5"/>
  <c r="I41" i="1"/>
  <c r="D40" i="1"/>
  <c r="W19" i="5" l="1"/>
  <c r="T21" i="5"/>
  <c r="W21" i="5"/>
  <c r="E22" i="5"/>
  <c r="D18" i="4"/>
</calcChain>
</file>

<file path=xl/sharedStrings.xml><?xml version="1.0" encoding="utf-8"?>
<sst xmlns="http://schemas.openxmlformats.org/spreadsheetml/2006/main" count="90" uniqueCount="66">
  <si>
    <t>نام شخص/شرکت:</t>
  </si>
  <si>
    <t>کد اقتصادی:</t>
  </si>
  <si>
    <t>شماره ثبت / کد ملی:</t>
  </si>
  <si>
    <t>تلفن/موبایل:</t>
  </si>
  <si>
    <t>آدرس:</t>
  </si>
  <si>
    <t>کد پستی:</t>
  </si>
  <si>
    <t>ردیف</t>
  </si>
  <si>
    <t>قیمت واحد</t>
  </si>
  <si>
    <t>تعداد</t>
  </si>
  <si>
    <t>قیمت کل</t>
  </si>
  <si>
    <t>جمع کل:</t>
  </si>
  <si>
    <t>جمع مالیات:</t>
  </si>
  <si>
    <t>جمع تخفیف:</t>
  </si>
  <si>
    <t>قابل پرداخت:</t>
  </si>
  <si>
    <t>تاریخ:</t>
  </si>
  <si>
    <t>شماره:</t>
  </si>
  <si>
    <t xml:space="preserve">نام </t>
  </si>
  <si>
    <t>آدرس</t>
  </si>
  <si>
    <t>کد اقتصادی</t>
  </si>
  <si>
    <t>شماره ثبت / کد ملی</t>
  </si>
  <si>
    <t>کد پستی</t>
  </si>
  <si>
    <t>شماره تلفن</t>
  </si>
  <si>
    <t xml:space="preserve">شماره فکس </t>
  </si>
  <si>
    <t>شرح کالا</t>
  </si>
  <si>
    <t>سنجش</t>
  </si>
  <si>
    <t>عدد</t>
  </si>
  <si>
    <t>متر</t>
  </si>
  <si>
    <t>مبلغ به حروف:</t>
  </si>
  <si>
    <t>صورتحساب فروش کالا و خدمات</t>
  </si>
  <si>
    <t>شماره سریال :</t>
  </si>
  <si>
    <t>تاریخ :</t>
  </si>
  <si>
    <t>مشخصات فروشنده</t>
  </si>
  <si>
    <t>مشخصات خريدار</t>
  </si>
  <si>
    <t>مشخصات كالا يا خدمات مورد معامله</t>
  </si>
  <si>
    <t>رديف</t>
  </si>
  <si>
    <t>شرح كالا يا خدمات</t>
  </si>
  <si>
    <t>مبلغ تخفيف</t>
  </si>
  <si>
    <t>جمع کل</t>
  </si>
  <si>
    <t xml:space="preserve">شرايط و نحوه فروش :            </t>
  </si>
  <si>
    <t>توضيحات : ..........................................................................................................................................................................</t>
  </si>
  <si>
    <r>
      <t xml:space="preserve">مهر و امضاء فروشنده                                                                                  </t>
    </r>
    <r>
      <rPr>
        <b/>
        <sz val="12"/>
        <rFont val="Tahoma"/>
        <family val="2"/>
      </rPr>
      <t xml:space="preserve"> </t>
    </r>
  </si>
  <si>
    <t>مهر و امضاء خريدار</t>
  </si>
  <si>
    <t>نحوه پرداخت:</t>
  </si>
  <si>
    <t xml:space="preserve">نقدی </t>
  </si>
  <si>
    <t xml:space="preserve">      نام شخص/شرکت:</t>
  </si>
  <si>
    <t xml:space="preserve">      تلفن/موبایل:</t>
  </si>
  <si>
    <t>فاکتور فروش کالا / خدمات</t>
  </si>
  <si>
    <t>تومان</t>
  </si>
  <si>
    <t>واحد پول:</t>
  </si>
  <si>
    <t>شروع فاکتورها:</t>
  </si>
  <si>
    <t>* برای تغییر لوگو کافیست روی آن کلیک کنید*</t>
  </si>
  <si>
    <t xml:space="preserve">مبلغ واحد </t>
  </si>
  <si>
    <t xml:space="preserve">مبلغ كل </t>
  </si>
  <si>
    <t>مبلغ كل پس از تخفيف</t>
  </si>
  <si>
    <t>جمع ماليات وعوارض</t>
  </si>
  <si>
    <t xml:space="preserve">جمع مبلغ كل بعلاوه جمع ماليات و عوارض </t>
  </si>
  <si>
    <t>آفیس باز</t>
  </si>
  <si>
    <t xml:space="preserve">شهرری شهرک علائین </t>
  </si>
  <si>
    <t>مانیتور 15 اینچ سامسونگ</t>
  </si>
  <si>
    <t>نادر بحری</t>
  </si>
  <si>
    <t xml:space="preserve">تهران </t>
  </si>
  <si>
    <t>کیس گرین 580</t>
  </si>
  <si>
    <t>فرهاد بحری</t>
  </si>
  <si>
    <t>ماشین لباسشویی</t>
  </si>
  <si>
    <t xml:space="preserve">تا کنون تعداد  2   فاکتور با اين نرم افزار صادر کرده ايد </t>
  </si>
  <si>
    <t xml:space="preserve">تا کنون تعداد  -1   فاکتور با اين نرم افزار صادر کرده ايد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</si>
</sst>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B Yekan"/>
      <charset val="178"/>
    </font>
    <font>
      <sz val="12"/>
      <color theme="1"/>
      <name val="B Titr"/>
      <charset val="178"/>
    </font>
    <font>
      <sz val="12"/>
      <color theme="1"/>
      <name val="B Yekan"/>
      <charset val="178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sz val="11"/>
      <color theme="0"/>
      <name val="Tahoma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10"/>
      <name val="Arial"/>
      <family val="2"/>
    </font>
    <font>
      <sz val="10"/>
      <name val="Tahoma"/>
      <family val="2"/>
    </font>
    <font>
      <b/>
      <u/>
      <sz val="16"/>
      <name val="Tahoma"/>
      <family val="2"/>
    </font>
    <font>
      <b/>
      <sz val="12"/>
      <name val="Tahoma"/>
      <family val="2"/>
    </font>
    <font>
      <b/>
      <sz val="10"/>
      <name val="Tahoma"/>
      <family val="2"/>
    </font>
    <font>
      <sz val="12"/>
      <name val="Tahoma"/>
      <family val="2"/>
    </font>
    <font>
      <b/>
      <sz val="13"/>
      <name val="Tahoma"/>
      <family val="2"/>
    </font>
    <font>
      <b/>
      <sz val="10"/>
      <color theme="1"/>
      <name val="Tahoma"/>
      <family val="2"/>
    </font>
    <font>
      <b/>
      <sz val="14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/>
    <xf numFmtId="0" fontId="10" fillId="0" borderId="0"/>
  </cellStyleXfs>
  <cellXfs count="114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/>
    <xf numFmtId="0" fontId="4" fillId="0" borderId="0" xfId="0" applyFont="1"/>
    <xf numFmtId="0" fontId="7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right"/>
    </xf>
    <xf numFmtId="0" fontId="6" fillId="0" borderId="3" xfId="0" applyFont="1" applyBorder="1" applyAlignment="1">
      <alignment horizontal="right"/>
    </xf>
    <xf numFmtId="0" fontId="0" fillId="0" borderId="0" xfId="0" applyAlignment="1">
      <alignment horizontal="right"/>
    </xf>
    <xf numFmtId="0" fontId="7" fillId="2" borderId="7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right"/>
    </xf>
    <xf numFmtId="0" fontId="6" fillId="3" borderId="8" xfId="0" applyFont="1" applyFill="1" applyBorder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8" xfId="0" applyFont="1" applyBorder="1" applyAlignment="1">
      <alignment horizont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9" fillId="0" borderId="0" xfId="0" applyFont="1"/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vertical="center"/>
    </xf>
    <xf numFmtId="9" fontId="1" fillId="0" borderId="0" xfId="0" applyNumberFormat="1" applyFont="1" applyAlignment="1">
      <alignment vertical="center" readingOrder="2"/>
    </xf>
    <xf numFmtId="0" fontId="1" fillId="0" borderId="1" xfId="0" applyFont="1" applyBorder="1" applyAlignment="1">
      <alignment horizontal="left" vertical="center"/>
    </xf>
    <xf numFmtId="3" fontId="1" fillId="0" borderId="1" xfId="0" applyNumberFormat="1" applyFont="1" applyBorder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3" fontId="11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2" fillId="4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3" fillId="0" borderId="0" xfId="1"/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4" fillId="0" borderId="0" xfId="1" applyFont="1" applyAlignment="1">
      <alignment horizontal="left" vertical="center"/>
    </xf>
    <xf numFmtId="14" fontId="14" fillId="0" borderId="0" xfId="1" applyNumberFormat="1" applyFont="1" applyAlignment="1">
      <alignment vertical="center"/>
    </xf>
    <xf numFmtId="0" fontId="14" fillId="0" borderId="0" xfId="1" applyFont="1" applyAlignment="1">
      <alignment vertical="center" readingOrder="1"/>
    </xf>
    <xf numFmtId="0" fontId="14" fillId="0" borderId="1" xfId="1" applyFont="1" applyBorder="1" applyAlignment="1">
      <alignment horizontal="center" vertical="center" textRotation="90"/>
    </xf>
    <xf numFmtId="3" fontId="18" fillId="0" borderId="4" xfId="1" applyNumberFormat="1" applyFont="1" applyBorder="1" applyAlignment="1">
      <alignment horizontal="center" vertical="center"/>
    </xf>
    <xf numFmtId="0" fontId="18" fillId="0" borderId="0" xfId="1" applyFont="1" applyAlignment="1">
      <alignment vertical="center"/>
    </xf>
    <xf numFmtId="164" fontId="14" fillId="0" borderId="0" xfId="1" applyNumberFormat="1" applyFont="1" applyAlignment="1">
      <alignment vertical="center"/>
    </xf>
    <xf numFmtId="0" fontId="14" fillId="0" borderId="4" xfId="1" applyFont="1" applyBorder="1" applyAlignment="1">
      <alignment vertical="center"/>
    </xf>
    <xf numFmtId="0" fontId="14" fillId="0" borderId="5" xfId="1" applyFont="1" applyBorder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" fillId="5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1" fillId="5" borderId="0" xfId="0" applyFont="1" applyFill="1"/>
    <xf numFmtId="0" fontId="5" fillId="5" borderId="0" xfId="0" applyFont="1" applyFill="1"/>
    <xf numFmtId="0" fontId="11" fillId="0" borderId="0" xfId="0" applyFont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right" vertic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6" fillId="0" borderId="0" xfId="0" applyFont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7" fillId="0" borderId="4" xfId="1" applyFont="1" applyBorder="1" applyAlignment="1">
      <alignment horizontal="right" vertical="center"/>
    </xf>
    <xf numFmtId="0" fontId="17" fillId="0" borderId="5" xfId="1" applyFont="1" applyBorder="1" applyAlignment="1">
      <alignment horizontal="right" vertical="center"/>
    </xf>
    <xf numFmtId="0" fontId="17" fillId="0" borderId="6" xfId="1" applyFont="1" applyBorder="1" applyAlignment="1">
      <alignment horizontal="right" vertical="center"/>
    </xf>
    <xf numFmtId="3" fontId="18" fillId="0" borderId="4" xfId="1" applyNumberFormat="1" applyFont="1" applyBorder="1" applyAlignment="1">
      <alignment horizontal="center" vertical="center"/>
    </xf>
    <xf numFmtId="3" fontId="18" fillId="0" borderId="5" xfId="1" applyNumberFormat="1" applyFont="1" applyBorder="1" applyAlignment="1">
      <alignment horizontal="center" vertical="center"/>
    </xf>
    <xf numFmtId="3" fontId="18" fillId="0" borderId="6" xfId="1" applyNumberFormat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wrapText="1"/>
    </xf>
    <xf numFmtId="0" fontId="17" fillId="0" borderId="1" xfId="1" applyFont="1" applyBorder="1" applyAlignment="1">
      <alignment horizontal="right" vertical="center"/>
    </xf>
    <xf numFmtId="0" fontId="18" fillId="0" borderId="4" xfId="1" applyFont="1" applyBorder="1" applyAlignment="1">
      <alignment horizontal="right" vertical="center"/>
    </xf>
    <xf numFmtId="0" fontId="18" fillId="0" borderId="5" xfId="1" applyFont="1" applyBorder="1" applyAlignment="1">
      <alignment horizontal="right" vertical="center"/>
    </xf>
    <xf numFmtId="0" fontId="18" fillId="0" borderId="6" xfId="1" applyFont="1" applyBorder="1" applyAlignment="1">
      <alignment horizontal="right" vertical="center"/>
    </xf>
    <xf numFmtId="0" fontId="18" fillId="0" borderId="4" xfId="1" applyFont="1" applyBorder="1" applyAlignment="1">
      <alignment horizontal="center" vertical="center" wrapText="1"/>
    </xf>
    <xf numFmtId="0" fontId="18" fillId="0" borderId="5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right" vertical="center"/>
    </xf>
    <xf numFmtId="0" fontId="14" fillId="0" borderId="2" xfId="1" applyFont="1" applyBorder="1" applyAlignment="1">
      <alignment horizontal="right" vertical="center"/>
    </xf>
    <xf numFmtId="0" fontId="14" fillId="0" borderId="14" xfId="1" applyFont="1" applyBorder="1" applyAlignment="1">
      <alignment horizontal="right" vertical="center"/>
    </xf>
    <xf numFmtId="0" fontId="14" fillId="0" borderId="11" xfId="1" applyFont="1" applyBorder="1" applyAlignment="1">
      <alignment horizontal="right" vertical="center"/>
    </xf>
    <xf numFmtId="0" fontId="14" fillId="0" borderId="12" xfId="1" applyFont="1" applyBorder="1" applyAlignment="1">
      <alignment horizontal="right" vertical="center"/>
    </xf>
    <xf numFmtId="0" fontId="14" fillId="0" borderId="13" xfId="1" applyFont="1" applyBorder="1" applyAlignment="1">
      <alignment horizontal="right" vertical="center"/>
    </xf>
    <xf numFmtId="0" fontId="14" fillId="0" borderId="4" xfId="1" applyFont="1" applyBorder="1" applyAlignment="1">
      <alignment horizontal="right" vertical="center"/>
    </xf>
    <xf numFmtId="0" fontId="14" fillId="0" borderId="5" xfId="1" applyFont="1" applyBorder="1" applyAlignment="1">
      <alignment horizontal="right" vertical="center"/>
    </xf>
    <xf numFmtId="0" fontId="18" fillId="0" borderId="4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8" fillId="0" borderId="6" xfId="1" applyFont="1" applyBorder="1" applyAlignment="1">
      <alignment horizontal="center" vertical="center"/>
    </xf>
    <xf numFmtId="3" fontId="17" fillId="0" borderId="1" xfId="1" applyNumberFormat="1" applyFont="1" applyBorder="1" applyAlignment="1">
      <alignment horizontal="center" vertical="center"/>
    </xf>
    <xf numFmtId="0" fontId="14" fillId="0" borderId="4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3" fontId="18" fillId="0" borderId="1" xfId="1" applyNumberFormat="1" applyFont="1" applyBorder="1" applyAlignment="1">
      <alignment horizontal="center" vertical="center"/>
    </xf>
    <xf numFmtId="3" fontId="14" fillId="0" borderId="4" xfId="1" applyNumberFormat="1" applyFont="1" applyBorder="1" applyAlignment="1">
      <alignment horizontal="center" vertical="center"/>
    </xf>
    <xf numFmtId="3" fontId="14" fillId="0" borderId="5" xfId="1" applyNumberFormat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6" fillId="5" borderId="1" xfId="1" applyFont="1" applyFill="1" applyBorder="1" applyAlignment="1">
      <alignment horizontal="center" vertical="center" readingOrder="1"/>
    </xf>
    <xf numFmtId="0" fontId="14" fillId="0" borderId="1" xfId="1" applyFont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16" fillId="5" borderId="4" xfId="1" applyFont="1" applyFill="1" applyBorder="1" applyAlignment="1">
      <alignment horizontal="center" vertical="center" readingOrder="1"/>
    </xf>
    <xf numFmtId="0" fontId="16" fillId="5" borderId="5" xfId="1" applyFont="1" applyFill="1" applyBorder="1" applyAlignment="1">
      <alignment horizontal="center" vertical="center" readingOrder="1"/>
    </xf>
    <xf numFmtId="0" fontId="16" fillId="5" borderId="6" xfId="1" applyFont="1" applyFill="1" applyBorder="1" applyAlignment="1">
      <alignment horizontal="center" vertical="center" readingOrder="1"/>
    </xf>
    <xf numFmtId="0" fontId="14" fillId="0" borderId="9" xfId="1" applyFont="1" applyBorder="1" applyAlignment="1">
      <alignment horizontal="center" vertical="center"/>
    </xf>
    <xf numFmtId="3" fontId="14" fillId="0" borderId="6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1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128985</xdr:colOff>
      <xdr:row>2</xdr:row>
      <xdr:rowOff>0</xdr:rowOff>
    </xdr:from>
    <xdr:to>
      <xdr:col>8</xdr:col>
      <xdr:colOff>1051719</xdr:colOff>
      <xdr:row>7</xdr:row>
      <xdr:rowOff>104776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7C7EFE7-489F-458B-ADE1-04CD9FDE7BCC}"/>
            </a:ext>
          </a:extLst>
        </xdr:cNvPr>
        <xdr:cNvSpPr/>
      </xdr:nvSpPr>
      <xdr:spPr>
        <a:xfrm>
          <a:off x="11372701172" y="754063"/>
          <a:ext cx="6945312" cy="848916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128985</xdr:colOff>
      <xdr:row>9</xdr:row>
      <xdr:rowOff>0</xdr:rowOff>
    </xdr:from>
    <xdr:to>
      <xdr:col>8</xdr:col>
      <xdr:colOff>1051719</xdr:colOff>
      <xdr:row>14</xdr:row>
      <xdr:rowOff>104776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A851E0-5D8E-4838-81E0-E47D766B7F04}"/>
            </a:ext>
          </a:extLst>
        </xdr:cNvPr>
        <xdr:cNvSpPr/>
      </xdr:nvSpPr>
      <xdr:spPr>
        <a:xfrm>
          <a:off x="11372701172" y="1914922"/>
          <a:ext cx="6945312" cy="848917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123825</xdr:colOff>
      <xdr:row>43</xdr:row>
      <xdr:rowOff>9525</xdr:rowOff>
    </xdr:from>
    <xdr:to>
      <xdr:col>4</xdr:col>
      <xdr:colOff>847725</xdr:colOff>
      <xdr:row>48</xdr:row>
      <xdr:rowOff>133351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6042F59-D20A-48D6-9E45-DC6196EAC441}"/>
            </a:ext>
          </a:extLst>
        </xdr:cNvPr>
        <xdr:cNvSpPr/>
      </xdr:nvSpPr>
      <xdr:spPr>
        <a:xfrm>
          <a:off x="9985457550" y="8391525"/>
          <a:ext cx="3067050" cy="102870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1028701</xdr:colOff>
      <xdr:row>43</xdr:row>
      <xdr:rowOff>9525</xdr:rowOff>
    </xdr:from>
    <xdr:to>
      <xdr:col>8</xdr:col>
      <xdr:colOff>1057276</xdr:colOff>
      <xdr:row>48</xdr:row>
      <xdr:rowOff>133351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26E93B3-9E94-4333-B596-CCAD864D1E8F}"/>
            </a:ext>
          </a:extLst>
        </xdr:cNvPr>
        <xdr:cNvSpPr/>
      </xdr:nvSpPr>
      <xdr:spPr>
        <a:xfrm>
          <a:off x="11385689699" y="8096250"/>
          <a:ext cx="3362325" cy="102870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28575</xdr:colOff>
      <xdr:row>43</xdr:row>
      <xdr:rowOff>123824</xdr:rowOff>
    </xdr:from>
    <xdr:to>
      <xdr:col>4</xdr:col>
      <xdr:colOff>761999</xdr:colOff>
      <xdr:row>48</xdr:row>
      <xdr:rowOff>28574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B0CE4C1-DB79-4C29-836D-80BAD51B1B17}"/>
            </a:ext>
          </a:extLst>
        </xdr:cNvPr>
        <xdr:cNvSpPr txBox="1"/>
      </xdr:nvSpPr>
      <xdr:spPr>
        <a:xfrm>
          <a:off x="11389318726" y="8210549"/>
          <a:ext cx="3200399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1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</a:t>
          </a:r>
          <a:r>
            <a:rPr lang="fa-IR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و شرایط </a:t>
          </a:r>
        </a:p>
        <a:p>
          <a:pPr algn="r" rtl="1"/>
          <a:r>
            <a:rPr lang="fa-IR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فاکتور را در این قسمت وارد نمائید.</a:t>
          </a:r>
        </a:p>
        <a:p>
          <a:pPr algn="r" rtl="1"/>
          <a:endParaRPr lang="en-US" sz="1100">
            <a:cs typeface="B Yekan" panose="00000400000000000000" pitchFamily="2" charset="-78"/>
          </a:endParaRPr>
        </a:p>
      </xdr:txBody>
    </xdr:sp>
    <xdr:clientData/>
  </xdr:twoCellAnchor>
  <xdr:twoCellAnchor>
    <xdr:from>
      <xdr:col>5</xdr:col>
      <xdr:colOff>57149</xdr:colOff>
      <xdr:row>44</xdr:row>
      <xdr:rowOff>28575</xdr:rowOff>
    </xdr:from>
    <xdr:to>
      <xdr:col>8</xdr:col>
      <xdr:colOff>942973</xdr:colOff>
      <xdr:row>48</xdr:row>
      <xdr:rowOff>66675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F7BFBE-5E71-46EF-9D82-12B099A1DA19}"/>
            </a:ext>
          </a:extLst>
        </xdr:cNvPr>
        <xdr:cNvSpPr txBox="1"/>
      </xdr:nvSpPr>
      <xdr:spPr>
        <a:xfrm>
          <a:off x="11385804002" y="8296275"/>
          <a:ext cx="3181349" cy="76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1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اجناس فروخته شده تعویض یا پس گرفته نمی شود.</a:t>
          </a:r>
          <a:endParaRPr lang="fa-IR" sz="11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r" rtl="1"/>
          <a:r>
            <a:rPr lang="fa-IR" sz="11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اجناس برقی دارای ضمانت نمی باشند.</a:t>
          </a:r>
        </a:p>
        <a:p>
          <a:pPr algn="r" rtl="1"/>
          <a:endParaRPr lang="en-US" sz="1100">
            <a:cs typeface="B Yekan" panose="00000400000000000000" pitchFamily="2" charset="-78"/>
          </a:endParaRPr>
        </a:p>
      </xdr:txBody>
    </xdr:sp>
    <xdr:clientData/>
  </xdr:twoCellAnchor>
  <xdr:twoCellAnchor>
    <xdr:from>
      <xdr:col>1</xdr:col>
      <xdr:colOff>95249</xdr:colOff>
      <xdr:row>41</xdr:row>
      <xdr:rowOff>38100</xdr:rowOff>
    </xdr:from>
    <xdr:to>
      <xdr:col>4</xdr:col>
      <xdr:colOff>828673</xdr:colOff>
      <xdr:row>42</xdr:row>
      <xdr:rowOff>152399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1582794-85F2-46A6-A259-36D82287AD4C}"/>
            </a:ext>
          </a:extLst>
        </xdr:cNvPr>
        <xdr:cNvSpPr txBox="1"/>
      </xdr:nvSpPr>
      <xdr:spPr>
        <a:xfrm>
          <a:off x="9985476602" y="8058150"/>
          <a:ext cx="2943224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 این فاکتور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238123</xdr:colOff>
      <xdr:row>41</xdr:row>
      <xdr:rowOff>38100</xdr:rowOff>
    </xdr:from>
    <xdr:to>
      <xdr:col>8</xdr:col>
      <xdr:colOff>1028700</xdr:colOff>
      <xdr:row>42</xdr:row>
      <xdr:rowOff>152399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484681C-07DE-4888-A3A4-1722C53B0626}"/>
            </a:ext>
          </a:extLst>
        </xdr:cNvPr>
        <xdr:cNvSpPr txBox="1"/>
      </xdr:nvSpPr>
      <xdr:spPr>
        <a:xfrm>
          <a:off x="11385718275" y="7762875"/>
          <a:ext cx="3086102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 فروشگاه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95248</xdr:colOff>
      <xdr:row>49</xdr:row>
      <xdr:rowOff>133350</xdr:rowOff>
    </xdr:from>
    <xdr:to>
      <xdr:col>4</xdr:col>
      <xdr:colOff>695322</xdr:colOff>
      <xdr:row>51</xdr:row>
      <xdr:rowOff>66674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6820F1C-C1A4-49EC-BD46-7BE1E3503818}"/>
            </a:ext>
          </a:extLst>
        </xdr:cNvPr>
        <xdr:cNvSpPr txBox="1"/>
      </xdr:nvSpPr>
      <xdr:spPr>
        <a:xfrm>
          <a:off x="11389623528" y="9305925"/>
          <a:ext cx="3286124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0" i="0" u="none" strike="noStrike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مهر و امضا خریدار:</a:t>
          </a:r>
          <a:r>
            <a:rPr lang="fa-IR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en-US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161922</xdr:colOff>
      <xdr:row>49</xdr:row>
      <xdr:rowOff>142875</xdr:rowOff>
    </xdr:from>
    <xdr:to>
      <xdr:col>8</xdr:col>
      <xdr:colOff>1066796</xdr:colOff>
      <xdr:row>51</xdr:row>
      <xdr:rowOff>76199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8E44B28-26DF-4A2E-A3F2-0F8B59AC4F72}"/>
            </a:ext>
          </a:extLst>
        </xdr:cNvPr>
        <xdr:cNvSpPr txBox="1"/>
      </xdr:nvSpPr>
      <xdr:spPr>
        <a:xfrm>
          <a:off x="11385889729" y="9315450"/>
          <a:ext cx="3228974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0" i="0" u="none" strike="noStrike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مهر و امضا خریدار:</a:t>
          </a:r>
          <a:r>
            <a:rPr lang="fa-IR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en-US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</xdr:colOff>
      <xdr:row>0</xdr:row>
      <xdr:rowOff>104775</xdr:rowOff>
    </xdr:from>
    <xdr:to>
      <xdr:col>3</xdr:col>
      <xdr:colOff>9525</xdr:colOff>
      <xdr:row>1</xdr:row>
      <xdr:rowOff>333375</xdr:rowOff>
    </xdr:to>
    <xdr:sp macro="[0]!selectLogo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FBDE761E-AA89-4ED5-98CB-EE137B35E8A8}"/>
            </a:ext>
          </a:extLst>
        </xdr:cNvPr>
        <xdr:cNvSpPr/>
      </xdr:nvSpPr>
      <xdr:spPr>
        <a:xfrm>
          <a:off x="11391614250" y="104775"/>
          <a:ext cx="1504949" cy="6096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fa-IR" sz="1100"/>
        </a:p>
      </xdr:txBody>
    </xdr:sp>
    <xdr:clientData/>
  </xdr:twoCellAnchor>
  <xdr:twoCellAnchor>
    <xdr:from>
      <xdr:col>2027</xdr:col>
      <xdr:colOff>561972</xdr:colOff>
      <xdr:row>42</xdr:row>
      <xdr:rowOff>152400</xdr:rowOff>
    </xdr:from>
    <xdr:to>
      <xdr:col>2032</xdr:col>
      <xdr:colOff>314321</xdr:colOff>
      <xdr:row>44</xdr:row>
      <xdr:rowOff>85724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FBFB404-87DF-4C21-A4BC-1C9CCDB9A863}"/>
            </a:ext>
          </a:extLst>
        </xdr:cNvPr>
        <xdr:cNvSpPr txBox="1"/>
      </xdr:nvSpPr>
      <xdr:spPr>
        <a:xfrm>
          <a:off x="9978990079" y="8058150"/>
          <a:ext cx="3228974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 فروشگاه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952500</xdr:colOff>
      <xdr:row>1</xdr:row>
      <xdr:rowOff>47625</xdr:rowOff>
    </xdr:from>
    <xdr:to>
      <xdr:col>6</xdr:col>
      <xdr:colOff>152399</xdr:colOff>
      <xdr:row>1</xdr:row>
      <xdr:rowOff>295275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7A3F93C-C66A-4E5A-9A96-E95F2364393C}"/>
            </a:ext>
          </a:extLst>
        </xdr:cNvPr>
        <xdr:cNvSpPr txBox="1"/>
      </xdr:nvSpPr>
      <xdr:spPr>
        <a:xfrm>
          <a:off x="11388509101" y="428625"/>
          <a:ext cx="1895474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مشخصات فروشنده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962024</xdr:colOff>
      <xdr:row>7</xdr:row>
      <xdr:rowOff>114300</xdr:rowOff>
    </xdr:from>
    <xdr:to>
      <xdr:col>6</xdr:col>
      <xdr:colOff>161923</xdr:colOff>
      <xdr:row>8</xdr:row>
      <xdr:rowOff>180975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BD259CAA-65C5-4C3C-A4E2-7547F6E33235}"/>
            </a:ext>
          </a:extLst>
        </xdr:cNvPr>
        <xdr:cNvSpPr txBox="1"/>
      </xdr:nvSpPr>
      <xdr:spPr>
        <a:xfrm>
          <a:off x="11388499577" y="1619250"/>
          <a:ext cx="1895474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مشخصات خریدار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2030</xdr:col>
      <xdr:colOff>71488</xdr:colOff>
      <xdr:row>1</xdr:row>
      <xdr:rowOff>323850</xdr:rowOff>
    </xdr:from>
    <xdr:to>
      <xdr:col>2031</xdr:col>
      <xdr:colOff>600176</xdr:colOff>
      <xdr:row>2</xdr:row>
      <xdr:rowOff>152400</xdr:rowOff>
    </xdr:to>
    <xdr:sp macro="[0]!RectangleRoundedCorners13_Click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8803E26-ECAA-4393-AD09-A55B8EC35F95}"/>
            </a:ext>
          </a:extLst>
        </xdr:cNvPr>
        <xdr:cNvSpPr/>
      </xdr:nvSpPr>
      <xdr:spPr>
        <a:xfrm>
          <a:off x="9979399549" y="704850"/>
          <a:ext cx="1224013" cy="2095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چاپ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فاکتور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1018888</xdr:colOff>
      <xdr:row>4</xdr:row>
      <xdr:rowOff>110216</xdr:rowOff>
    </xdr:from>
    <xdr:to>
      <xdr:col>14</xdr:col>
      <xdr:colOff>442963</xdr:colOff>
      <xdr:row>7</xdr:row>
      <xdr:rowOff>147491</xdr:rowOff>
    </xdr:to>
    <xdr:sp macro="[0]!RectangleRoundedCorners21_Click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2B108723-6F82-467D-9C5F-AE2302328DDA}"/>
            </a:ext>
          </a:extLst>
        </xdr:cNvPr>
        <xdr:cNvSpPr/>
      </xdr:nvSpPr>
      <xdr:spPr>
        <a:xfrm>
          <a:off x="11382027287" y="1148441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نمای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چاپی </a:t>
          </a:r>
          <a:r>
            <a:rPr lang="en-US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A4 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افقی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1037938</xdr:colOff>
      <xdr:row>12</xdr:row>
      <xdr:rowOff>38099</xdr:rowOff>
    </xdr:from>
    <xdr:to>
      <xdr:col>14</xdr:col>
      <xdr:colOff>462013</xdr:colOff>
      <xdr:row>15</xdr:row>
      <xdr:rowOff>84899</xdr:rowOff>
    </xdr:to>
    <xdr:sp macro="[0]!openFolder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B785CA69-EFEA-42AC-95A0-8E96EC6CE8F2}"/>
            </a:ext>
          </a:extLst>
        </xdr:cNvPr>
        <xdr:cNvSpPr/>
      </xdr:nvSpPr>
      <xdr:spPr>
        <a:xfrm>
          <a:off x="11382008237" y="2428874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مشاهده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فاکتورها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94963</xdr:colOff>
      <xdr:row>12</xdr:row>
      <xdr:rowOff>38099</xdr:rowOff>
    </xdr:from>
    <xdr:to>
      <xdr:col>11</xdr:col>
      <xdr:colOff>909688</xdr:colOff>
      <xdr:row>15</xdr:row>
      <xdr:rowOff>84899</xdr:rowOff>
    </xdr:to>
    <xdr:sp macro="[0]!Macro4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67E8AE8F-245D-4C9A-8BCD-20B17658F7C1}"/>
            </a:ext>
          </a:extLst>
        </xdr:cNvPr>
        <xdr:cNvSpPr/>
      </xdr:nvSpPr>
      <xdr:spPr>
        <a:xfrm>
          <a:off x="11384008487" y="2428874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ذخیره و بستن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1018888</xdr:colOff>
      <xdr:row>1</xdr:row>
      <xdr:rowOff>104774</xdr:rowOff>
    </xdr:from>
    <xdr:to>
      <xdr:col>14</xdr:col>
      <xdr:colOff>442963</xdr:colOff>
      <xdr:row>3</xdr:row>
      <xdr:rowOff>37274</xdr:rowOff>
    </xdr:to>
    <xdr:sp macro="[0]!RectangleRoundedCorners13_Click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97E0FB83-6691-4F35-8EB6-0329E0241CE0}"/>
            </a:ext>
          </a:extLst>
        </xdr:cNvPr>
        <xdr:cNvSpPr/>
      </xdr:nvSpPr>
      <xdr:spPr>
        <a:xfrm>
          <a:off x="11382027287" y="485774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نمای چاپی </a:t>
          </a:r>
          <a:r>
            <a:rPr lang="en-US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A4 </a:t>
          </a:r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عمودی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94963</xdr:colOff>
      <xdr:row>1</xdr:row>
      <xdr:rowOff>104774</xdr:rowOff>
    </xdr:from>
    <xdr:to>
      <xdr:col>11</xdr:col>
      <xdr:colOff>909688</xdr:colOff>
      <xdr:row>3</xdr:row>
      <xdr:rowOff>37274</xdr:rowOff>
    </xdr:to>
    <xdr:sp macro="[0]!RectangleRoundedCorners4_Click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24DB3C6A-3459-4B2D-BFE9-A745F3D6757F}"/>
            </a:ext>
          </a:extLst>
        </xdr:cNvPr>
        <xdr:cNvSpPr/>
      </xdr:nvSpPr>
      <xdr:spPr>
        <a:xfrm>
          <a:off x="11384008487" y="485774"/>
          <a:ext cx="1872000" cy="50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خریدار و فروشنده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94963</xdr:colOff>
      <xdr:row>8</xdr:row>
      <xdr:rowOff>96608</xdr:rowOff>
    </xdr:from>
    <xdr:to>
      <xdr:col>11</xdr:col>
      <xdr:colOff>909688</xdr:colOff>
      <xdr:row>11</xdr:row>
      <xdr:rowOff>86258</xdr:rowOff>
    </xdr:to>
    <xdr:sp macro="[0]!noSav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298B4F0C-9080-4D45-8FDB-C3BAF48E9FDC}"/>
            </a:ext>
          </a:extLst>
        </xdr:cNvPr>
        <xdr:cNvSpPr/>
      </xdr:nvSpPr>
      <xdr:spPr>
        <a:xfrm>
          <a:off x="11384008487" y="1782533"/>
          <a:ext cx="1872000" cy="5040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انصراف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و بستن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94963</xdr:colOff>
      <xdr:row>4</xdr:row>
      <xdr:rowOff>110216</xdr:rowOff>
    </xdr:from>
    <xdr:to>
      <xdr:col>11</xdr:col>
      <xdr:colOff>909688</xdr:colOff>
      <xdr:row>7</xdr:row>
      <xdr:rowOff>147491</xdr:rowOff>
    </xdr:to>
    <xdr:sp macro="[0]!RectangleRoundedCorners27_Click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CCA1591A-8451-41C4-9E7C-4C067BAEBFFB}"/>
            </a:ext>
          </a:extLst>
        </xdr:cNvPr>
        <xdr:cNvSpPr/>
      </xdr:nvSpPr>
      <xdr:spPr>
        <a:xfrm>
          <a:off x="11384008487" y="1148441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افزودن کالا به فاکتور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1037938</xdr:colOff>
      <xdr:row>8</xdr:row>
      <xdr:rowOff>96608</xdr:rowOff>
    </xdr:from>
    <xdr:to>
      <xdr:col>14</xdr:col>
      <xdr:colOff>462013</xdr:colOff>
      <xdr:row>11</xdr:row>
      <xdr:rowOff>86258</xdr:rowOff>
    </xdr:to>
    <xdr:sp macro="[0]!RectangleRoundedCorners28_Click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EA624CDF-BBB2-4FC6-9138-E40CF9AA75E0}"/>
            </a:ext>
          </a:extLst>
        </xdr:cNvPr>
        <xdr:cNvSpPr/>
      </xdr:nvSpPr>
      <xdr:spPr>
        <a:xfrm>
          <a:off x="11382008237" y="1782533"/>
          <a:ext cx="1872000" cy="504000"/>
        </a:xfrm>
        <a:prstGeom prst="roundRect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نمای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چاپی </a:t>
          </a:r>
          <a:r>
            <a:rPr lang="en-US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A5 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افقی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85437</xdr:colOff>
      <xdr:row>17</xdr:row>
      <xdr:rowOff>161925</xdr:rowOff>
    </xdr:from>
    <xdr:to>
      <xdr:col>14</xdr:col>
      <xdr:colOff>495299</xdr:colOff>
      <xdr:row>19</xdr:row>
      <xdr:rowOff>189675</xdr:rowOff>
    </xdr:to>
    <xdr:sp macro="[0]!RectangleRoundedCorners29_Click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12BE2417-575A-433B-B50D-9D3DD5C24780}"/>
            </a:ext>
          </a:extLst>
        </xdr:cNvPr>
        <xdr:cNvSpPr/>
      </xdr:nvSpPr>
      <xdr:spPr>
        <a:xfrm>
          <a:off x="11381974951" y="3333750"/>
          <a:ext cx="3915062" cy="50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استفاده </a:t>
          </a:r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</xdr:row>
      <xdr:rowOff>0</xdr:rowOff>
    </xdr:from>
    <xdr:to>
      <xdr:col>4</xdr:col>
      <xdr:colOff>733425</xdr:colOff>
      <xdr:row>7</xdr:row>
      <xdr:rowOff>104776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132C402-C482-4427-A4B3-DB9DDC4B1F79}"/>
            </a:ext>
          </a:extLst>
        </xdr:cNvPr>
        <xdr:cNvSpPr/>
      </xdr:nvSpPr>
      <xdr:spPr>
        <a:xfrm>
          <a:off x="11389347300" y="762000"/>
          <a:ext cx="3286125" cy="847726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790576</xdr:colOff>
      <xdr:row>2</xdr:row>
      <xdr:rowOff>0</xdr:rowOff>
    </xdr:from>
    <xdr:to>
      <xdr:col>8</xdr:col>
      <xdr:colOff>1028701</xdr:colOff>
      <xdr:row>7</xdr:row>
      <xdr:rowOff>95251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FE4894C2-81AB-48DB-8335-0E38B4241783}"/>
            </a:ext>
          </a:extLst>
        </xdr:cNvPr>
        <xdr:cNvSpPr/>
      </xdr:nvSpPr>
      <xdr:spPr>
        <a:xfrm>
          <a:off x="11385661124" y="571500"/>
          <a:ext cx="3571875" cy="838201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114300</xdr:colOff>
      <xdr:row>19</xdr:row>
      <xdr:rowOff>38101</xdr:rowOff>
    </xdr:from>
    <xdr:to>
      <xdr:col>8</xdr:col>
      <xdr:colOff>1047750</xdr:colOff>
      <xdr:row>23</xdr:row>
      <xdr:rowOff>1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5832296C-6954-4A96-A60D-8C5C09535501}"/>
            </a:ext>
          </a:extLst>
        </xdr:cNvPr>
        <xdr:cNvSpPr/>
      </xdr:nvSpPr>
      <xdr:spPr>
        <a:xfrm>
          <a:off x="11385670650" y="3924301"/>
          <a:ext cx="6886575" cy="68580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104775</xdr:colOff>
      <xdr:row>19</xdr:row>
      <xdr:rowOff>114299</xdr:rowOff>
    </xdr:from>
    <xdr:to>
      <xdr:col>8</xdr:col>
      <xdr:colOff>990600</xdr:colOff>
      <xdr:row>22</xdr:row>
      <xdr:rowOff>161925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698E5C79-DACB-4743-9CE0-708EB95782D0}"/>
            </a:ext>
          </a:extLst>
        </xdr:cNvPr>
        <xdr:cNvSpPr txBox="1"/>
      </xdr:nvSpPr>
      <xdr:spPr>
        <a:xfrm>
          <a:off x="11385727800" y="4076699"/>
          <a:ext cx="6686550" cy="5905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05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</a:t>
          </a:r>
          <a:r>
            <a:rPr lang="fa-IR" sz="105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و شرایط </a:t>
          </a:r>
        </a:p>
        <a:p>
          <a:pPr algn="r" rtl="1"/>
          <a:r>
            <a:rPr lang="fa-IR" sz="105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فاکتور را در این قسمت وارد نمائید.</a:t>
          </a:r>
        </a:p>
        <a:p>
          <a:pPr algn="r" rtl="1"/>
          <a:endParaRPr lang="en-US" sz="1050">
            <a:cs typeface="B Yekan" panose="00000400000000000000" pitchFamily="2" charset="-78"/>
          </a:endParaRPr>
        </a:p>
      </xdr:txBody>
    </xdr:sp>
    <xdr:clientData/>
  </xdr:twoCellAnchor>
  <xdr:twoCellAnchor>
    <xdr:from>
      <xdr:col>0</xdr:col>
      <xdr:colOff>57149</xdr:colOff>
      <xdr:row>18</xdr:row>
      <xdr:rowOff>104775</xdr:rowOff>
    </xdr:from>
    <xdr:to>
      <xdr:col>4</xdr:col>
      <xdr:colOff>638173</xdr:colOff>
      <xdr:row>19</xdr:row>
      <xdr:rowOff>9525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AC5B5-B345-4627-9C14-229BD2938A3A}"/>
            </a:ext>
          </a:extLst>
        </xdr:cNvPr>
        <xdr:cNvSpPr txBox="1"/>
      </xdr:nvSpPr>
      <xdr:spPr>
        <a:xfrm>
          <a:off x="11389442552" y="3752850"/>
          <a:ext cx="3200399" cy="142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 rtl="1"/>
          <a:r>
            <a:rPr lang="fa-IR" sz="105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 این فاکتور</a:t>
          </a:r>
        </a:p>
        <a:p>
          <a:pPr algn="r" rtl="1"/>
          <a:endParaRPr lang="en-US" sz="105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23</xdr:row>
      <xdr:rowOff>76200</xdr:rowOff>
    </xdr:from>
    <xdr:to>
      <xdr:col>4</xdr:col>
      <xdr:colOff>600074</xdr:colOff>
      <xdr:row>25</xdr:row>
      <xdr:rowOff>9524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1E15B0D-99BF-4599-B6B0-3517BEC86A33}"/>
            </a:ext>
          </a:extLst>
        </xdr:cNvPr>
        <xdr:cNvSpPr txBox="1"/>
      </xdr:nvSpPr>
      <xdr:spPr>
        <a:xfrm>
          <a:off x="11389480651" y="4686300"/>
          <a:ext cx="3219449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0" i="0" u="none" strike="noStrike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مهر و امضا خریدار:</a:t>
          </a:r>
          <a:r>
            <a:rPr lang="fa-IR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en-US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95247</xdr:colOff>
      <xdr:row>23</xdr:row>
      <xdr:rowOff>47625</xdr:rowOff>
    </xdr:from>
    <xdr:to>
      <xdr:col>8</xdr:col>
      <xdr:colOff>1000121</xdr:colOff>
      <xdr:row>24</xdr:row>
      <xdr:rowOff>161924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4909D161-4D13-4ABD-83A0-6BD4151077EF}"/>
            </a:ext>
          </a:extLst>
        </xdr:cNvPr>
        <xdr:cNvSpPr txBox="1"/>
      </xdr:nvSpPr>
      <xdr:spPr>
        <a:xfrm>
          <a:off x="11385746854" y="4657725"/>
          <a:ext cx="3200399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0" i="0" u="none" strike="noStrike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مهر و امضا خریدار:</a:t>
          </a:r>
          <a:r>
            <a:rPr lang="fa-IR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en-US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104775</xdr:colOff>
      <xdr:row>0</xdr:row>
      <xdr:rowOff>47624</xdr:rowOff>
    </xdr:from>
    <xdr:to>
      <xdr:col>2</xdr:col>
      <xdr:colOff>657225</xdr:colOff>
      <xdr:row>1</xdr:row>
      <xdr:rowOff>171450</xdr:rowOff>
    </xdr:to>
    <xdr:sp macro="[0]!Macro6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1F9AFC7F-884E-4E02-817B-A91000B41100}"/>
            </a:ext>
          </a:extLst>
        </xdr:cNvPr>
        <xdr:cNvSpPr/>
      </xdr:nvSpPr>
      <xdr:spPr>
        <a:xfrm>
          <a:off x="11391404700" y="47624"/>
          <a:ext cx="1009650" cy="409576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fa-IR" sz="1100"/>
        </a:p>
      </xdr:txBody>
    </xdr:sp>
    <xdr:clientData/>
  </xdr:twoCellAnchor>
  <xdr:twoCellAnchor>
    <xdr:from>
      <xdr:col>2027</xdr:col>
      <xdr:colOff>561972</xdr:colOff>
      <xdr:row>20</xdr:row>
      <xdr:rowOff>152400</xdr:rowOff>
    </xdr:from>
    <xdr:to>
      <xdr:col>2032</xdr:col>
      <xdr:colOff>314321</xdr:colOff>
      <xdr:row>22</xdr:row>
      <xdr:rowOff>85724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ED66C15E-7F01-46CD-8384-12580699835E}"/>
            </a:ext>
          </a:extLst>
        </xdr:cNvPr>
        <xdr:cNvSpPr txBox="1"/>
      </xdr:nvSpPr>
      <xdr:spPr>
        <a:xfrm>
          <a:off x="9978990079" y="8058150"/>
          <a:ext cx="3228974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توضیحات فروشگاه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95248</xdr:colOff>
      <xdr:row>2</xdr:row>
      <xdr:rowOff>47625</xdr:rowOff>
    </xdr:from>
    <xdr:to>
      <xdr:col>1</xdr:col>
      <xdr:colOff>209548</xdr:colOff>
      <xdr:row>7</xdr:row>
      <xdr:rowOff>57149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90DC464-B306-41C1-9ECB-E9810063460B}"/>
            </a:ext>
          </a:extLst>
        </xdr:cNvPr>
        <xdr:cNvSpPr txBox="1"/>
      </xdr:nvSpPr>
      <xdr:spPr>
        <a:xfrm rot="16200000">
          <a:off x="11392095265" y="1052512"/>
          <a:ext cx="752474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05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فروشنده</a:t>
          </a:r>
        </a:p>
        <a:p>
          <a:pPr algn="r" rtl="1"/>
          <a:endParaRPr lang="en-US" sz="105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838200</xdr:colOff>
      <xdr:row>2</xdr:row>
      <xdr:rowOff>66676</xdr:rowOff>
    </xdr:from>
    <xdr:to>
      <xdr:col>4</xdr:col>
      <xdr:colOff>1028698</xdr:colOff>
      <xdr:row>7</xdr:row>
      <xdr:rowOff>0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DA8CAA88-EF81-4CDC-B79A-1A82B00CC437}"/>
            </a:ext>
          </a:extLst>
        </xdr:cNvPr>
        <xdr:cNvSpPr txBox="1"/>
      </xdr:nvSpPr>
      <xdr:spPr>
        <a:xfrm rot="16200000">
          <a:off x="11388809139" y="1071564"/>
          <a:ext cx="676274" cy="19049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خریدار</a:t>
          </a:r>
        </a:p>
        <a:p>
          <a:pPr algn="r" rtl="1"/>
          <a:endParaRPr lang="en-US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I21"/>
  <sheetViews>
    <sheetView rightToLeft="1" workbookViewId="0">
      <selection activeCell="A6" sqref="A6"/>
    </sheetView>
  </sheetViews>
  <sheetFormatPr defaultRowHeight="14.35" x14ac:dyDescent="0.5"/>
  <cols>
    <col min="1" max="1" width="20.41015625" style="12" customWidth="1"/>
  </cols>
  <sheetData>
    <row r="1" spans="1:9" x14ac:dyDescent="0.5">
      <c r="A1" s="7" t="s">
        <v>23</v>
      </c>
    </row>
    <row r="2" spans="1:9" x14ac:dyDescent="0.5">
      <c r="A2" s="10" t="s">
        <v>58</v>
      </c>
      <c r="I2" s="21">
        <v>1</v>
      </c>
    </row>
    <row r="3" spans="1:9" x14ac:dyDescent="0.5">
      <c r="A3" s="11" t="s">
        <v>61</v>
      </c>
    </row>
    <row r="4" spans="1:9" x14ac:dyDescent="0.5">
      <c r="A4" s="10" t="s">
        <v>58</v>
      </c>
    </row>
    <row r="5" spans="1:9" x14ac:dyDescent="0.5">
      <c r="A5" s="12" t="s">
        <v>63</v>
      </c>
    </row>
    <row r="6" spans="1:9" x14ac:dyDescent="0.5">
      <c r="A6"/>
    </row>
    <row r="7" spans="1:9" x14ac:dyDescent="0.5">
      <c r="A7"/>
    </row>
    <row r="8" spans="1:9" x14ac:dyDescent="0.5">
      <c r="A8"/>
    </row>
    <row r="9" spans="1:9" x14ac:dyDescent="0.5">
      <c r="A9"/>
    </row>
    <row r="10" spans="1:9" x14ac:dyDescent="0.5">
      <c r="A10"/>
    </row>
    <row r="11" spans="1:9" x14ac:dyDescent="0.5">
      <c r="A11"/>
    </row>
    <row r="12" spans="1:9" x14ac:dyDescent="0.5">
      <c r="A12"/>
    </row>
    <row r="13" spans="1:9" x14ac:dyDescent="0.5">
      <c r="A13"/>
    </row>
    <row r="14" spans="1:9" x14ac:dyDescent="0.5">
      <c r="A14"/>
    </row>
    <row r="15" spans="1:9" x14ac:dyDescent="0.5">
      <c r="A15"/>
    </row>
    <row r="16" spans="1:9" x14ac:dyDescent="0.5">
      <c r="A16"/>
    </row>
    <row r="17" spans="1:1" x14ac:dyDescent="0.5">
      <c r="A17"/>
    </row>
    <row r="18" spans="1:1" x14ac:dyDescent="0.5">
      <c r="A18"/>
    </row>
    <row r="19" spans="1:1" x14ac:dyDescent="0.5">
      <c r="A19"/>
    </row>
    <row r="20" spans="1:1" x14ac:dyDescent="0.5">
      <c r="A20"/>
    </row>
    <row r="21" spans="1:1" x14ac:dyDescent="0.5">
      <c r="A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"/>
  <sheetViews>
    <sheetView rightToLeft="1" workbookViewId="0">
      <selection activeCell="C19" sqref="C19"/>
    </sheetView>
  </sheetViews>
  <sheetFormatPr defaultRowHeight="14.35" x14ac:dyDescent="0.5"/>
  <cols>
    <col min="1" max="1" width="20.41015625" style="12" customWidth="1"/>
    <col min="2" max="2" width="38.5859375" customWidth="1"/>
    <col min="3" max="3" width="16" customWidth="1"/>
    <col min="4" max="4" width="21.41015625" customWidth="1"/>
    <col min="5" max="6" width="14.703125" customWidth="1"/>
    <col min="7" max="7" width="15" customWidth="1"/>
  </cols>
  <sheetData>
    <row r="1" spans="1:11" x14ac:dyDescent="0.5">
      <c r="A1" s="13" t="s">
        <v>16</v>
      </c>
      <c r="B1" s="7" t="s">
        <v>17</v>
      </c>
      <c r="C1" s="7" t="s">
        <v>18</v>
      </c>
      <c r="D1" s="7" t="s">
        <v>19</v>
      </c>
      <c r="E1" s="7" t="s">
        <v>20</v>
      </c>
      <c r="F1" s="7" t="s">
        <v>21</v>
      </c>
      <c r="G1" s="14" t="s">
        <v>22</v>
      </c>
    </row>
    <row r="2" spans="1:11" x14ac:dyDescent="0.5">
      <c r="A2" s="15" t="s">
        <v>56</v>
      </c>
      <c r="B2" s="10" t="s">
        <v>57</v>
      </c>
      <c r="C2" s="8">
        <v>650</v>
      </c>
      <c r="D2" s="8">
        <v>502</v>
      </c>
      <c r="E2" s="8">
        <v>1873754436</v>
      </c>
      <c r="F2" s="8">
        <v>9122279351</v>
      </c>
      <c r="G2" s="16">
        <v>9122279351</v>
      </c>
      <c r="K2" s="21" t="s">
        <v>25</v>
      </c>
    </row>
    <row r="3" spans="1:11" x14ac:dyDescent="0.5">
      <c r="A3" s="17" t="s">
        <v>59</v>
      </c>
      <c r="B3" s="11" t="s">
        <v>60</v>
      </c>
      <c r="C3" s="9"/>
      <c r="D3" s="9"/>
      <c r="E3" s="9"/>
      <c r="F3" s="9"/>
      <c r="G3" s="18"/>
      <c r="K3" s="21" t="s">
        <v>26</v>
      </c>
    </row>
    <row r="4" spans="1:11" x14ac:dyDescent="0.5">
      <c r="A4" s="12" t="s">
        <v>62</v>
      </c>
      <c r="F4">
        <v>912222154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O53"/>
  <sheetViews>
    <sheetView showGridLines="0" showZeros="0" rightToLeft="1" tabSelected="1" zoomScale="85" zoomScaleNormal="85" zoomScaleSheetLayoutView="96" workbookViewId="0">
      <selection activeCell="D42" sqref="D42"/>
    </sheetView>
  </sheetViews>
  <sheetFormatPr defaultColWidth="9.1171875" defaultRowHeight="13.7" x14ac:dyDescent="0.4"/>
  <cols>
    <col min="1" max="1" width="2" style="1" customWidth="1"/>
    <col min="2" max="2" width="6" style="1" customWidth="1"/>
    <col min="3" max="3" width="13.5859375" style="1" customWidth="1"/>
    <col min="4" max="4" width="12.703125" style="1" customWidth="1"/>
    <col min="5" max="5" width="13.5859375" style="1" customWidth="1"/>
    <col min="6" max="6" width="8.1171875" style="1" customWidth="1"/>
    <col min="7" max="7" width="9.1171875" style="1"/>
    <col min="8" max="8" width="12.87890625" style="1" customWidth="1"/>
    <col min="9" max="9" width="14.41015625" style="1" customWidth="1"/>
    <col min="10" max="10" width="3.29296875" style="1" customWidth="1"/>
    <col min="11" max="12" width="13.87890625" style="1" customWidth="1"/>
    <col min="13" max="16384" width="9.1171875" style="1"/>
  </cols>
  <sheetData>
    <row r="1" spans="2:15" ht="30" customHeight="1" x14ac:dyDescent="0.4">
      <c r="H1" s="22" t="s">
        <v>14</v>
      </c>
      <c r="I1" s="23" t="str">
        <f>LEFT(shamsi(),4)&amp;"-"&amp;LEFT(RIGHT(shamsi(),4),2)&amp;"-"&amp;RIGHT(shamsi(),2)</f>
        <v>1400-04-16</v>
      </c>
      <c r="K1" s="57" t="s">
        <v>48</v>
      </c>
      <c r="L1" s="57" t="s">
        <v>47</v>
      </c>
      <c r="M1" s="58" t="s">
        <v>49</v>
      </c>
      <c r="N1" s="59"/>
      <c r="O1" s="60">
        <v>250</v>
      </c>
    </row>
    <row r="2" spans="2:15" s="2" customFormat="1" ht="30" customHeight="1" x14ac:dyDescent="0.5">
      <c r="F2" s="4"/>
      <c r="H2" s="22" t="s">
        <v>15</v>
      </c>
      <c r="I2" s="23">
        <v>250</v>
      </c>
      <c r="K2" s="52"/>
      <c r="L2" s="52"/>
      <c r="M2" s="52"/>
      <c r="N2" s="52"/>
      <c r="O2" s="52"/>
    </row>
    <row r="3" spans="2:15" s="2" customFormat="1" ht="17" x14ac:dyDescent="0.5">
      <c r="B3" s="36" t="s">
        <v>0</v>
      </c>
      <c r="D3" s="64"/>
      <c r="E3" s="64"/>
      <c r="H3" s="36" t="s">
        <v>1</v>
      </c>
      <c r="I3" s="2" t="str">
        <f>IFERROR(VLOOKUP($D$3,Contact!$A$2:$G$334,3,0),"")</f>
        <v/>
      </c>
      <c r="J3" s="3"/>
      <c r="K3" s="53"/>
      <c r="L3" s="52"/>
      <c r="M3" s="52"/>
      <c r="N3" s="52"/>
      <c r="O3" s="52"/>
    </row>
    <row r="4" spans="2:15" s="2" customFormat="1" ht="6.75" customHeight="1" x14ac:dyDescent="0.5">
      <c r="B4" s="56"/>
      <c r="K4" s="52"/>
      <c r="L4" s="52"/>
      <c r="M4" s="52"/>
      <c r="N4" s="52"/>
      <c r="O4" s="52"/>
    </row>
    <row r="5" spans="2:15" s="2" customFormat="1" ht="15" customHeight="1" x14ac:dyDescent="0.5">
      <c r="B5" s="37" t="s">
        <v>2</v>
      </c>
      <c r="D5" s="65" t="str">
        <f>IFERROR(VLOOKUP($D$3,Contact!$A$2:$G$334,4,0),"")</f>
        <v/>
      </c>
      <c r="E5" s="65"/>
      <c r="H5" s="36" t="s">
        <v>3</v>
      </c>
      <c r="I5" s="2" t="str">
        <f>IFERROR(VLOOKUP($D$3,Contact!$A$2:$G$334,6,0),"")</f>
        <v/>
      </c>
      <c r="J5" s="3"/>
      <c r="K5" s="53"/>
      <c r="L5" s="52"/>
      <c r="M5" s="52"/>
      <c r="N5" s="52"/>
      <c r="O5" s="52"/>
    </row>
    <row r="6" spans="2:15" s="2" customFormat="1" ht="6.75" customHeight="1" x14ac:dyDescent="0.5">
      <c r="H6" s="37"/>
      <c r="K6" s="52"/>
      <c r="L6" s="52"/>
      <c r="M6" s="52"/>
      <c r="N6" s="52"/>
      <c r="O6" s="52"/>
    </row>
    <row r="7" spans="2:15" s="2" customFormat="1" ht="14.7" x14ac:dyDescent="0.5">
      <c r="B7" s="37" t="s">
        <v>4</v>
      </c>
      <c r="C7" s="67" t="str">
        <f>IFERROR(VLOOKUP($D$3,Contact!$A$2:$G$334,2,0),"")</f>
        <v/>
      </c>
      <c r="D7" s="67"/>
      <c r="E7" s="67"/>
      <c r="F7" s="67"/>
      <c r="G7" s="67"/>
      <c r="H7" s="36" t="s">
        <v>5</v>
      </c>
      <c r="I7" s="2" t="str">
        <f>IFERROR(VLOOKUP($D$3,Contact!$A$2:$G$334,5,0),"")</f>
        <v/>
      </c>
      <c r="K7" s="52"/>
      <c r="L7" s="52"/>
      <c r="M7" s="52"/>
      <c r="N7" s="52"/>
      <c r="O7" s="52"/>
    </row>
    <row r="8" spans="2:15" x14ac:dyDescent="0.4">
      <c r="K8" s="54"/>
      <c r="L8" s="54"/>
      <c r="M8" s="54"/>
      <c r="N8" s="54"/>
      <c r="O8" s="54"/>
    </row>
    <row r="9" spans="2:15" s="2" customFormat="1" ht="18.75" customHeight="1" x14ac:dyDescent="0.5">
      <c r="F9" s="4"/>
      <c r="K9" s="52"/>
      <c r="L9" s="52"/>
      <c r="M9" s="52"/>
      <c r="N9" s="52"/>
      <c r="O9" s="52"/>
    </row>
    <row r="10" spans="2:15" s="2" customFormat="1" ht="17" x14ac:dyDescent="0.5">
      <c r="B10" s="36" t="s">
        <v>0</v>
      </c>
      <c r="D10" s="64"/>
      <c r="E10" s="64"/>
      <c r="H10" s="36" t="s">
        <v>1</v>
      </c>
      <c r="I10" s="2" t="str">
        <f>IFERROR(VLOOKUP($D$10,Contact!$A$2:$G$334,3,0),"")</f>
        <v/>
      </c>
      <c r="J10" s="3"/>
      <c r="K10" s="53"/>
      <c r="L10" s="52"/>
      <c r="M10" s="52"/>
      <c r="N10" s="52"/>
      <c r="O10" s="52"/>
    </row>
    <row r="11" spans="2:15" s="2" customFormat="1" ht="6.75" customHeight="1" x14ac:dyDescent="0.5">
      <c r="B11" s="37"/>
      <c r="H11" s="37"/>
      <c r="K11" s="52"/>
      <c r="L11" s="52"/>
      <c r="M11" s="52"/>
      <c r="N11" s="52"/>
      <c r="O11" s="52"/>
    </row>
    <row r="12" spans="2:15" s="2" customFormat="1" ht="15" customHeight="1" x14ac:dyDescent="0.5">
      <c r="B12" s="37" t="s">
        <v>2</v>
      </c>
      <c r="D12" s="65" t="str">
        <f>IFERROR(VLOOKUP($D$10,Contact!$A$2:$G$334,4,0),"")</f>
        <v/>
      </c>
      <c r="E12" s="65"/>
      <c r="H12" s="36" t="s">
        <v>3</v>
      </c>
      <c r="I12" s="2" t="str">
        <f>IFERROR(VLOOKUP($D$10,Contact!$A$2:$G$334,6,0),"")</f>
        <v/>
      </c>
      <c r="J12" s="3"/>
      <c r="K12" s="53"/>
      <c r="L12" s="52"/>
      <c r="M12" s="52"/>
      <c r="N12" s="52"/>
      <c r="O12" s="52"/>
    </row>
    <row r="13" spans="2:15" s="2" customFormat="1" ht="6.75" customHeight="1" x14ac:dyDescent="0.5">
      <c r="B13" s="37"/>
      <c r="H13" s="37"/>
      <c r="K13" s="52"/>
      <c r="L13" s="52"/>
      <c r="M13" s="52"/>
      <c r="N13" s="52"/>
      <c r="O13" s="52"/>
    </row>
    <row r="14" spans="2:15" s="2" customFormat="1" ht="14.7" x14ac:dyDescent="0.5">
      <c r="B14" s="36" t="s">
        <v>4</v>
      </c>
      <c r="C14" s="67" t="str">
        <f>IFERROR(VLOOKUP($D$10,Contact!$A$2:$G$334,2,0),"")</f>
        <v/>
      </c>
      <c r="D14" s="67"/>
      <c r="E14" s="67"/>
      <c r="F14" s="67"/>
      <c r="G14" s="67"/>
      <c r="H14" s="36" t="s">
        <v>5</v>
      </c>
      <c r="I14" s="2" t="str">
        <f>IFERROR(VLOOKUP($D$10,Contact!$A$2:$G$334,5,0),"")</f>
        <v/>
      </c>
      <c r="K14" s="52"/>
      <c r="L14" s="52"/>
      <c r="M14" s="52"/>
      <c r="N14" s="52"/>
      <c r="O14" s="52"/>
    </row>
    <row r="15" spans="2:15" x14ac:dyDescent="0.4">
      <c r="K15" s="54"/>
      <c r="L15" s="54"/>
      <c r="M15" s="54"/>
      <c r="N15" s="54"/>
      <c r="O15" s="54"/>
    </row>
    <row r="16" spans="2:15" ht="4.5" customHeight="1" x14ac:dyDescent="0.4">
      <c r="K16" s="54"/>
      <c r="L16" s="54"/>
      <c r="M16" s="54"/>
      <c r="N16" s="54"/>
      <c r="O16" s="54"/>
    </row>
    <row r="17" spans="2:15" ht="21" customHeight="1" x14ac:dyDescent="1.4">
      <c r="B17" s="35" t="s">
        <v>6</v>
      </c>
      <c r="C17" s="66" t="s">
        <v>23</v>
      </c>
      <c r="D17" s="66"/>
      <c r="E17" s="66"/>
      <c r="F17" s="35" t="s">
        <v>8</v>
      </c>
      <c r="G17" s="35" t="s">
        <v>24</v>
      </c>
      <c r="H17" s="35" t="s">
        <v>7</v>
      </c>
      <c r="I17" s="35" t="s">
        <v>9</v>
      </c>
      <c r="J17" s="6"/>
      <c r="K17" s="61" t="s">
        <v>50</v>
      </c>
      <c r="L17" s="61"/>
      <c r="M17" s="61"/>
      <c r="N17" s="61"/>
      <c r="O17" s="61"/>
    </row>
    <row r="18" spans="2:15" ht="18.75" customHeight="1" x14ac:dyDescent="0.95">
      <c r="B18" s="29" t="str">
        <f>IF(C18&gt;0,ROWS($C$18:C18),"")</f>
        <v/>
      </c>
      <c r="C18" s="30"/>
      <c r="D18" s="31"/>
      <c r="E18" s="32"/>
      <c r="F18" s="29"/>
      <c r="G18" s="29"/>
      <c r="H18" s="29"/>
      <c r="I18" s="33">
        <f t="shared" ref="I18:I30" si="0">H18*F18</f>
        <v>0</v>
      </c>
      <c r="J18" s="5"/>
      <c r="K18" s="61"/>
      <c r="L18" s="61"/>
      <c r="M18" s="61"/>
      <c r="N18" s="61"/>
      <c r="O18" s="61"/>
    </row>
    <row r="19" spans="2:15" ht="18.75" customHeight="1" x14ac:dyDescent="0.95">
      <c r="B19" s="29" t="str">
        <f>IF(C19&gt;0,ROWS($C$18:C19),"")</f>
        <v/>
      </c>
      <c r="C19" s="30"/>
      <c r="D19" s="31"/>
      <c r="E19" s="32"/>
      <c r="F19" s="29"/>
      <c r="G19" s="29"/>
      <c r="H19" s="29"/>
      <c r="I19" s="33">
        <f t="shared" si="0"/>
        <v>0</v>
      </c>
      <c r="J19" s="5"/>
      <c r="K19" s="55"/>
      <c r="L19" s="54"/>
      <c r="M19" s="54"/>
      <c r="N19" s="54"/>
      <c r="O19" s="54"/>
    </row>
    <row r="20" spans="2:15" ht="18.75" customHeight="1" x14ac:dyDescent="0.95">
      <c r="B20" s="29" t="str">
        <f>IF(C20&gt;0,ROWS($C$18:C20),"")</f>
        <v/>
      </c>
      <c r="C20" s="30"/>
      <c r="D20" s="31"/>
      <c r="E20" s="32"/>
      <c r="F20" s="29"/>
      <c r="G20" s="29"/>
      <c r="H20" s="29"/>
      <c r="I20" s="33">
        <f t="shared" si="0"/>
        <v>0</v>
      </c>
      <c r="J20" s="5"/>
      <c r="K20" s="61" t="s">
        <v>65</v>
      </c>
      <c r="L20" s="61"/>
      <c r="M20" s="61"/>
      <c r="N20" s="61"/>
      <c r="O20" s="61"/>
    </row>
    <row r="21" spans="2:15" ht="18.75" customHeight="1" x14ac:dyDescent="0.95">
      <c r="B21" s="29" t="str">
        <f>IF(C21&gt;0,ROWS($C$18:C21),"")</f>
        <v/>
      </c>
      <c r="C21" s="30"/>
      <c r="D21" s="31"/>
      <c r="E21" s="32"/>
      <c r="F21" s="29"/>
      <c r="G21" s="29"/>
      <c r="H21" s="29"/>
      <c r="I21" s="33">
        <f t="shared" si="0"/>
        <v>0</v>
      </c>
      <c r="J21" s="5"/>
      <c r="K21" s="61"/>
      <c r="L21" s="61"/>
      <c r="M21" s="61"/>
      <c r="N21" s="61"/>
      <c r="O21" s="61"/>
    </row>
    <row r="22" spans="2:15" ht="18.75" customHeight="1" x14ac:dyDescent="0.95">
      <c r="B22" s="29" t="str">
        <f>IF(C22&gt;0,ROWS($C$18:C22),"")</f>
        <v/>
      </c>
      <c r="C22" s="30"/>
      <c r="D22" s="31"/>
      <c r="E22" s="32"/>
      <c r="F22" s="29"/>
      <c r="G22" s="29"/>
      <c r="H22" s="29"/>
      <c r="I22" s="33">
        <f t="shared" si="0"/>
        <v>0</v>
      </c>
      <c r="J22" s="5"/>
      <c r="K22" s="61"/>
      <c r="L22" s="61"/>
      <c r="M22" s="61"/>
      <c r="N22" s="61"/>
      <c r="O22" s="61"/>
    </row>
    <row r="23" spans="2:15" ht="18.75" customHeight="1" x14ac:dyDescent="0.95">
      <c r="B23" s="29" t="str">
        <f>IF(C23&gt;0,ROWS($C$18:C23),"")</f>
        <v/>
      </c>
      <c r="C23" s="30"/>
      <c r="D23" s="31"/>
      <c r="E23" s="32"/>
      <c r="F23" s="29"/>
      <c r="G23" s="29"/>
      <c r="H23" s="29"/>
      <c r="I23" s="33">
        <f t="shared" si="0"/>
        <v>0</v>
      </c>
      <c r="J23" s="5"/>
    </row>
    <row r="24" spans="2:15" ht="18.75" customHeight="1" x14ac:dyDescent="0.95">
      <c r="B24" s="29" t="str">
        <f>IF(C24&gt;0,ROWS($C$18:C24),"")</f>
        <v/>
      </c>
      <c r="C24" s="30"/>
      <c r="D24" s="31"/>
      <c r="E24" s="32"/>
      <c r="F24" s="29"/>
      <c r="G24" s="29"/>
      <c r="H24" s="29"/>
      <c r="I24" s="33">
        <f t="shared" si="0"/>
        <v>0</v>
      </c>
      <c r="J24" s="5"/>
    </row>
    <row r="25" spans="2:15" ht="18.75" customHeight="1" x14ac:dyDescent="0.95">
      <c r="B25" s="29" t="str">
        <f>IF(C25&gt;0,ROWS($C$18:C25),"")</f>
        <v/>
      </c>
      <c r="C25" s="30"/>
      <c r="D25" s="31"/>
      <c r="E25" s="32"/>
      <c r="F25" s="29"/>
      <c r="G25" s="29"/>
      <c r="H25" s="29"/>
      <c r="I25" s="33">
        <f t="shared" si="0"/>
        <v>0</v>
      </c>
      <c r="J25" s="5"/>
      <c r="K25" s="5"/>
    </row>
    <row r="26" spans="2:15" ht="18.75" customHeight="1" x14ac:dyDescent="0.95">
      <c r="B26" s="29" t="str">
        <f>IF(C26&gt;0,ROWS($C$18:C26),"")</f>
        <v/>
      </c>
      <c r="C26" s="30"/>
      <c r="D26" s="31"/>
      <c r="E26" s="32"/>
      <c r="F26" s="29"/>
      <c r="G26" s="29"/>
      <c r="H26" s="29"/>
      <c r="I26" s="33">
        <f t="shared" si="0"/>
        <v>0</v>
      </c>
      <c r="J26" s="5"/>
      <c r="K26" s="5"/>
    </row>
    <row r="27" spans="2:15" ht="18.75" customHeight="1" x14ac:dyDescent="0.95">
      <c r="B27" s="29" t="str">
        <f>IF(C27&gt;0,ROWS($C$18:C27),"")</f>
        <v/>
      </c>
      <c r="C27" s="30"/>
      <c r="D27" s="31"/>
      <c r="E27" s="32"/>
      <c r="F27" s="29"/>
      <c r="G27" s="29"/>
      <c r="H27" s="29"/>
      <c r="I27" s="33">
        <f t="shared" si="0"/>
        <v>0</v>
      </c>
      <c r="J27" s="5"/>
      <c r="K27" s="5"/>
    </row>
    <row r="28" spans="2:15" ht="18.75" customHeight="1" x14ac:dyDescent="0.95">
      <c r="B28" s="29" t="str">
        <f>IF(C28&gt;0,ROWS($C$18:C28),"")</f>
        <v/>
      </c>
      <c r="C28" s="30"/>
      <c r="D28" s="31"/>
      <c r="E28" s="32"/>
      <c r="F28" s="29"/>
      <c r="G28" s="29"/>
      <c r="H28" s="29"/>
      <c r="I28" s="33">
        <f t="shared" si="0"/>
        <v>0</v>
      </c>
      <c r="J28" s="5"/>
      <c r="K28" s="5"/>
    </row>
    <row r="29" spans="2:15" ht="18.75" customHeight="1" x14ac:dyDescent="0.95">
      <c r="B29" s="29" t="str">
        <f>IF(C29&gt;0,ROWS($C$18:C29),"")</f>
        <v/>
      </c>
      <c r="C29" s="30"/>
      <c r="D29" s="31"/>
      <c r="E29" s="32"/>
      <c r="F29" s="29"/>
      <c r="G29" s="29"/>
      <c r="H29" s="29"/>
      <c r="I29" s="33">
        <f t="shared" si="0"/>
        <v>0</v>
      </c>
      <c r="J29" s="5"/>
      <c r="K29" s="5"/>
    </row>
    <row r="30" spans="2:15" ht="18.75" customHeight="1" x14ac:dyDescent="0.95">
      <c r="B30" s="29" t="str">
        <f>IF(C30&gt;0,ROWS($C$18:C30),"")</f>
        <v/>
      </c>
      <c r="C30" s="30"/>
      <c r="D30" s="31"/>
      <c r="E30" s="32"/>
      <c r="F30" s="29"/>
      <c r="G30" s="29"/>
      <c r="H30" s="29"/>
      <c r="I30" s="33">
        <f t="shared" si="0"/>
        <v>0</v>
      </c>
      <c r="J30" s="5"/>
      <c r="K30" s="5"/>
    </row>
    <row r="31" spans="2:15" ht="18.75" customHeight="1" x14ac:dyDescent="0.95">
      <c r="B31" s="29" t="str">
        <f>IF(C31&gt;0,ROWS($C$18:C31),"")</f>
        <v/>
      </c>
      <c r="C31" s="30"/>
      <c r="D31" s="31"/>
      <c r="E31" s="32"/>
      <c r="F31" s="29"/>
      <c r="G31" s="29"/>
      <c r="H31" s="29"/>
      <c r="I31" s="33">
        <f t="shared" ref="I31:I32" si="1">H31*F31</f>
        <v>0</v>
      </c>
      <c r="J31" s="5"/>
      <c r="K31" s="5"/>
    </row>
    <row r="32" spans="2:15" ht="18.75" customHeight="1" x14ac:dyDescent="0.95">
      <c r="B32" s="29" t="str">
        <f>IF(C32&gt;0,ROWS($C$18:C32),"")</f>
        <v/>
      </c>
      <c r="C32" s="30"/>
      <c r="D32" s="31"/>
      <c r="E32" s="32"/>
      <c r="F32" s="29"/>
      <c r="G32" s="29"/>
      <c r="H32" s="29"/>
      <c r="I32" s="33">
        <f t="shared" si="1"/>
        <v>0</v>
      </c>
      <c r="J32" s="5"/>
      <c r="K32" s="5"/>
    </row>
    <row r="33" spans="2:11" ht="18.75" customHeight="1" x14ac:dyDescent="0.95">
      <c r="B33" s="29" t="str">
        <f>IF(C33&gt;0,ROWS($C$18:C33),"")</f>
        <v/>
      </c>
      <c r="C33" s="30"/>
      <c r="D33" s="31"/>
      <c r="E33" s="32"/>
      <c r="F33" s="29"/>
      <c r="G33" s="29"/>
      <c r="H33" s="29"/>
      <c r="I33" s="33">
        <f t="shared" ref="I33:I37" si="2">H33*F33</f>
        <v>0</v>
      </c>
      <c r="J33" s="5"/>
      <c r="K33" s="5"/>
    </row>
    <row r="34" spans="2:11" ht="18.75" customHeight="1" x14ac:dyDescent="0.95">
      <c r="B34" s="29" t="str">
        <f>IF(C34&gt;0,ROWS($C$18:C34),"")</f>
        <v/>
      </c>
      <c r="C34" s="30"/>
      <c r="D34" s="31"/>
      <c r="E34" s="32"/>
      <c r="F34" s="29"/>
      <c r="G34" s="29"/>
      <c r="H34" s="29"/>
      <c r="I34" s="33">
        <f t="shared" si="2"/>
        <v>0</v>
      </c>
      <c r="J34" s="5"/>
      <c r="K34" s="5"/>
    </row>
    <row r="35" spans="2:11" ht="18.75" customHeight="1" x14ac:dyDescent="0.95">
      <c r="B35" s="29" t="str">
        <f>IF(C35&gt;0,ROWS($C$18:C35),"")</f>
        <v/>
      </c>
      <c r="C35" s="30"/>
      <c r="D35" s="31"/>
      <c r="E35" s="32"/>
      <c r="F35" s="29"/>
      <c r="G35" s="29"/>
      <c r="H35" s="29"/>
      <c r="I35" s="33"/>
      <c r="J35" s="5"/>
      <c r="K35" s="5"/>
    </row>
    <row r="36" spans="2:11" ht="18.75" customHeight="1" x14ac:dyDescent="0.95">
      <c r="B36" s="29" t="str">
        <f>IF(C36&gt;0,ROWS($C$18:C36),"")</f>
        <v/>
      </c>
      <c r="C36" s="30"/>
      <c r="D36" s="31"/>
      <c r="E36" s="32"/>
      <c r="F36" s="29"/>
      <c r="G36" s="29"/>
      <c r="H36" s="29"/>
      <c r="I36" s="33">
        <f t="shared" si="2"/>
        <v>0</v>
      </c>
      <c r="J36" s="5"/>
      <c r="K36" s="5"/>
    </row>
    <row r="37" spans="2:11" ht="18.75" customHeight="1" x14ac:dyDescent="0.95">
      <c r="B37" s="29" t="str">
        <f>IF(C37&gt;0,ROWS($C$18:C37),"")</f>
        <v/>
      </c>
      <c r="C37" s="30"/>
      <c r="D37" s="31"/>
      <c r="E37" s="32"/>
      <c r="F37" s="29"/>
      <c r="G37" s="29"/>
      <c r="H37" s="29"/>
      <c r="I37" s="33">
        <f t="shared" si="2"/>
        <v>0</v>
      </c>
      <c r="J37" s="5"/>
      <c r="K37" s="5"/>
    </row>
    <row r="38" spans="2:11" ht="18.75" customHeight="1" x14ac:dyDescent="0.4">
      <c r="B38" s="2"/>
      <c r="C38" s="24"/>
      <c r="D38" s="25"/>
      <c r="E38" s="34">
        <v>9</v>
      </c>
      <c r="F38" s="2"/>
      <c r="G38" s="2"/>
      <c r="H38" s="26" t="s">
        <v>10</v>
      </c>
      <c r="I38" s="27">
        <f>SUM(I18:I37)</f>
        <v>0</v>
      </c>
    </row>
    <row r="39" spans="2:11" s="2" customFormat="1" ht="18.75" customHeight="1" x14ac:dyDescent="0.5">
      <c r="B39" s="2" t="s">
        <v>42</v>
      </c>
      <c r="D39" s="2" t="s">
        <v>43</v>
      </c>
      <c r="G39" s="28"/>
      <c r="H39" s="26" t="s">
        <v>11</v>
      </c>
      <c r="I39" s="27">
        <f>(I38*E38)/100</f>
        <v>0</v>
      </c>
    </row>
    <row r="40" spans="2:11" ht="18.75" customHeight="1" x14ac:dyDescent="0.4">
      <c r="B40" s="19" t="s">
        <v>27</v>
      </c>
      <c r="C40" s="20"/>
      <c r="D40" s="62" t="str">
        <f>abh(I41)&amp;" " &amp;L1</f>
        <v>صفر تومان</v>
      </c>
      <c r="E40" s="62"/>
      <c r="F40" s="62"/>
      <c r="G40" s="63"/>
      <c r="H40" s="26" t="s">
        <v>12</v>
      </c>
      <c r="I40" s="27"/>
    </row>
    <row r="41" spans="2:11" ht="18.75" customHeight="1" x14ac:dyDescent="0.4">
      <c r="B41" s="20"/>
      <c r="C41" s="20"/>
      <c r="D41" s="62"/>
      <c r="E41" s="62"/>
      <c r="F41" s="62"/>
      <c r="G41" s="63"/>
      <c r="H41" s="26" t="s">
        <v>13</v>
      </c>
      <c r="I41" s="27">
        <f>I38+I39-I40</f>
        <v>0</v>
      </c>
    </row>
    <row r="53" s="5" customFormat="1" ht="18.350000000000001" x14ac:dyDescent="0.95"/>
  </sheetData>
  <mergeCells count="10">
    <mergeCell ref="K20:O22"/>
    <mergeCell ref="K17:O18"/>
    <mergeCell ref="D40:G41"/>
    <mergeCell ref="D3:E3"/>
    <mergeCell ref="D5:E5"/>
    <mergeCell ref="D10:E10"/>
    <mergeCell ref="D12:E12"/>
    <mergeCell ref="C17:E17"/>
    <mergeCell ref="C7:G7"/>
    <mergeCell ref="C14:G14"/>
  </mergeCells>
  <dataValidations count="3">
    <dataValidation type="list" allowBlank="1" showInputMessage="1" showErrorMessage="1" sqref="G20:G37" xr:uid="{00000000-0002-0000-0200-000000000000}">
      <formula1>"عدد,متر,کیلو"</formula1>
    </dataValidation>
    <dataValidation type="list" allowBlank="1" showInputMessage="1" showErrorMessage="1" sqref="D39" xr:uid="{00000000-0002-0000-0200-000001000000}">
      <formula1>"نقدی ,غیر نقدی"</formula1>
    </dataValidation>
    <dataValidation type="list" allowBlank="1" showInputMessage="1" showErrorMessage="1" sqref="L1" xr:uid="{00000000-0002-0000-0200-000002000000}">
      <formula1>"ریال,تومان"</formula1>
    </dataValidation>
  </dataValidations>
  <pageMargins left="0.18" right="0.19" top="0.17" bottom="0.1" header="0" footer="0.03"/>
  <pageSetup paperSize="9" orientation="portrait" r:id="rId1"/>
  <headerFooter>
    <oddHeader xml:space="preserve">&amp;C
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1"/>
  <sheetViews>
    <sheetView showGridLines="0" showZeros="0" rightToLeft="1" zoomScale="85" zoomScaleNormal="85" workbookViewId="0">
      <selection activeCell="AJ10" sqref="AJ10"/>
    </sheetView>
  </sheetViews>
  <sheetFormatPr defaultRowHeight="14.35" x14ac:dyDescent="0.5"/>
  <cols>
    <col min="1" max="1" width="5.41015625" customWidth="1"/>
    <col min="2" max="2" width="11" customWidth="1"/>
    <col min="4" max="4" width="16.87890625" customWidth="1"/>
    <col min="5" max="6" width="2.703125" customWidth="1"/>
    <col min="7" max="8" width="5.1171875" customWidth="1"/>
    <col min="9" max="12" width="3.1171875" customWidth="1"/>
    <col min="13" max="16" width="2.703125" customWidth="1"/>
    <col min="17" max="19" width="4.703125" customWidth="1"/>
    <col min="20" max="22" width="4" customWidth="1"/>
    <col min="23" max="30" width="3" customWidth="1"/>
  </cols>
  <sheetData>
    <row r="1" spans="1:31" ht="26.25" customHeight="1" x14ac:dyDescent="0.5">
      <c r="A1" s="39"/>
      <c r="B1" s="39"/>
      <c r="C1" s="39"/>
      <c r="D1" s="39"/>
      <c r="E1" s="105" t="s">
        <v>28</v>
      </c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2"/>
      <c r="R1" s="102"/>
      <c r="S1" s="102"/>
      <c r="T1" s="39"/>
      <c r="U1" s="39"/>
      <c r="V1" s="39"/>
      <c r="W1" s="102" t="s">
        <v>29</v>
      </c>
      <c r="X1" s="102"/>
      <c r="Y1" s="102"/>
      <c r="Z1" s="109"/>
      <c r="AA1" s="101">
        <f>Invoice!$I$2</f>
        <v>250</v>
      </c>
      <c r="AB1" s="101"/>
      <c r="AC1" s="101"/>
      <c r="AD1" s="39"/>
      <c r="AE1" s="38"/>
    </row>
    <row r="2" spans="1:31" ht="12.75" customHeight="1" x14ac:dyDescent="0.5">
      <c r="A2" s="39"/>
      <c r="B2" s="39"/>
      <c r="C2" s="39"/>
      <c r="D2" s="39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40"/>
      <c r="R2" s="40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8"/>
    </row>
    <row r="3" spans="1:31" ht="26.25" customHeight="1" x14ac:dyDescent="0.5">
      <c r="A3" s="39"/>
      <c r="B3" s="39"/>
      <c r="C3" s="39"/>
      <c r="D3" s="39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2"/>
      <c r="R3" s="102"/>
      <c r="S3" s="102"/>
      <c r="T3" s="42"/>
      <c r="U3" s="39"/>
      <c r="V3" s="39"/>
      <c r="W3" s="39"/>
      <c r="X3" s="102" t="s">
        <v>30</v>
      </c>
      <c r="Y3" s="102"/>
      <c r="Z3" s="102"/>
      <c r="AA3" s="101" t="str">
        <f>Invoice!$I$1</f>
        <v>1400-04-16</v>
      </c>
      <c r="AB3" s="101"/>
      <c r="AC3" s="101"/>
      <c r="AD3" s="39"/>
      <c r="AE3" s="38"/>
    </row>
    <row r="4" spans="1:31" ht="22.5" customHeight="1" x14ac:dyDescent="0.5">
      <c r="A4" s="103" t="s">
        <v>31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43"/>
    </row>
    <row r="5" spans="1:31" ht="22.5" customHeight="1" x14ac:dyDescent="0.5">
      <c r="A5" s="77" t="str">
        <f>"  نام حقيقي / حقوقي : " &amp; " " &amp;Invoice!$D$3</f>
        <v xml:space="preserve">  نام حقيقي / حقوقي :  </v>
      </c>
      <c r="B5" s="77"/>
      <c r="C5" s="77"/>
      <c r="D5" s="77"/>
      <c r="E5" s="77" t="str">
        <f>"شماره اقتصادی : "&amp;" "&amp;Invoice!I3</f>
        <v xml:space="preserve">شماره اقتصادی :  </v>
      </c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 t="str">
        <f>"شماره ثبت/شماره ملی :  "&amp;Invoice!D5</f>
        <v xml:space="preserve">شماره ثبت/شماره ملی :  </v>
      </c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38"/>
    </row>
    <row r="6" spans="1:31" ht="22.5" customHeight="1" x14ac:dyDescent="0.5">
      <c r="A6" s="68" t="str">
        <f>"نشانی: "&amp;Invoice!C7</f>
        <v xml:space="preserve">نشانی: </v>
      </c>
      <c r="B6" s="69"/>
      <c r="C6" s="69"/>
      <c r="D6" s="70"/>
      <c r="E6" s="77" t="str">
        <f>"کد پستی : " &amp; " " &amp;Invoice!$I$7</f>
        <v xml:space="preserve">کد پستی :  </v>
      </c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 t="str">
        <f>" شماره تلفن / نمابر:" &amp; " " &amp;Invoice!I5</f>
        <v xml:space="preserve"> شماره تلفن / نمابر: </v>
      </c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38"/>
    </row>
    <row r="7" spans="1:31" ht="22.5" customHeight="1" x14ac:dyDescent="0.5">
      <c r="A7" s="103" t="s">
        <v>32</v>
      </c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38"/>
    </row>
    <row r="8" spans="1:31" ht="22.5" customHeight="1" x14ac:dyDescent="0.5">
      <c r="A8" s="68" t="str">
        <f>" نام حقيقي / حقوقي :" &amp; " " &amp;Invoice!$D$10</f>
        <v xml:space="preserve"> نام حقيقي / حقوقي : </v>
      </c>
      <c r="B8" s="69"/>
      <c r="C8" s="69"/>
      <c r="D8" s="70"/>
      <c r="E8" s="77" t="str">
        <f>"شماره اقتصادی : "&amp; " " &amp;Invoice!I10</f>
        <v xml:space="preserve">شماره اقتصادی :  </v>
      </c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 t="str">
        <f>"شماره ثبت/شماره ملی :  "&amp;Invoice!D12</f>
        <v xml:space="preserve">شماره ثبت/شماره ملی :  </v>
      </c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38"/>
    </row>
    <row r="9" spans="1:31" ht="22.5" customHeight="1" x14ac:dyDescent="0.5">
      <c r="A9" s="77" t="str">
        <f>"نشانی: "&amp;Invoice!C14</f>
        <v xml:space="preserve">نشانی: 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 t="str">
        <f>" شماره تلفن / نمابر:  "&amp;Invoice!I12</f>
        <v xml:space="preserve"> شماره تلفن / نمابر:  </v>
      </c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38"/>
    </row>
    <row r="10" spans="1:31" ht="22.5" customHeight="1" x14ac:dyDescent="0.5">
      <c r="A10" s="106" t="s">
        <v>33</v>
      </c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8"/>
      <c r="AE10" s="38"/>
    </row>
    <row r="11" spans="1:31" ht="42.75" customHeight="1" x14ac:dyDescent="0.5">
      <c r="A11" s="44" t="s">
        <v>34</v>
      </c>
      <c r="B11" s="95" t="s">
        <v>35</v>
      </c>
      <c r="C11" s="96"/>
      <c r="D11" s="97"/>
      <c r="E11" s="74" t="s">
        <v>8</v>
      </c>
      <c r="F11" s="76"/>
      <c r="G11" s="74" t="s">
        <v>51</v>
      </c>
      <c r="H11" s="76"/>
      <c r="I11" s="74" t="s">
        <v>52</v>
      </c>
      <c r="J11" s="75"/>
      <c r="K11" s="75"/>
      <c r="L11" s="76"/>
      <c r="M11" s="75" t="s">
        <v>36</v>
      </c>
      <c r="N11" s="75"/>
      <c r="O11" s="75"/>
      <c r="P11" s="76"/>
      <c r="Q11" s="74" t="s">
        <v>53</v>
      </c>
      <c r="R11" s="75"/>
      <c r="S11" s="76"/>
      <c r="T11" s="74" t="s">
        <v>54</v>
      </c>
      <c r="U11" s="75"/>
      <c r="V11" s="76"/>
      <c r="W11" s="104" t="s">
        <v>55</v>
      </c>
      <c r="X11" s="104"/>
      <c r="Y11" s="104"/>
      <c r="Z11" s="104"/>
      <c r="AA11" s="104"/>
      <c r="AB11" s="104"/>
      <c r="AC11" s="104"/>
      <c r="AD11" s="104"/>
      <c r="AE11" s="38"/>
    </row>
    <row r="12" spans="1:31" ht="21.75" customHeight="1" x14ac:dyDescent="0.5">
      <c r="A12" s="45">
        <v>1</v>
      </c>
      <c r="B12" s="78">
        <f>Invoice!C18</f>
        <v>0</v>
      </c>
      <c r="C12" s="79"/>
      <c r="D12" s="80"/>
      <c r="E12" s="71">
        <f>Invoice!F18</f>
        <v>0</v>
      </c>
      <c r="F12" s="73"/>
      <c r="G12" s="71">
        <f>Invoice!H18</f>
        <v>0</v>
      </c>
      <c r="H12" s="72"/>
      <c r="I12" s="71">
        <f>E12*G12</f>
        <v>0</v>
      </c>
      <c r="J12" s="72"/>
      <c r="K12" s="72"/>
      <c r="L12" s="73"/>
      <c r="M12" s="71">
        <v>0</v>
      </c>
      <c r="N12" s="72"/>
      <c r="O12" s="72"/>
      <c r="P12" s="73"/>
      <c r="Q12" s="71">
        <f>I12-M12</f>
        <v>0</v>
      </c>
      <c r="R12" s="72"/>
      <c r="S12" s="72"/>
      <c r="T12" s="71">
        <f>Q12*Invoice!$E$38/100</f>
        <v>0</v>
      </c>
      <c r="U12" s="72"/>
      <c r="V12" s="72"/>
      <c r="W12" s="98">
        <f>Q12+T12</f>
        <v>0</v>
      </c>
      <c r="X12" s="98"/>
      <c r="Y12" s="98"/>
      <c r="Z12" s="98"/>
      <c r="AA12" s="98"/>
      <c r="AB12" s="98"/>
      <c r="AC12" s="98"/>
      <c r="AD12" s="98"/>
      <c r="AE12" s="46"/>
    </row>
    <row r="13" spans="1:31" ht="21.75" customHeight="1" x14ac:dyDescent="0.5">
      <c r="A13" s="45">
        <v>2</v>
      </c>
      <c r="B13" s="78">
        <f>Invoice!C19</f>
        <v>0</v>
      </c>
      <c r="C13" s="79"/>
      <c r="D13" s="80"/>
      <c r="E13" s="71">
        <f>Invoice!F19</f>
        <v>0</v>
      </c>
      <c r="F13" s="73"/>
      <c r="G13" s="71">
        <f>Invoice!H19</f>
        <v>0</v>
      </c>
      <c r="H13" s="72"/>
      <c r="I13" s="71">
        <f t="shared" ref="I13:I20" si="0">E13*G13</f>
        <v>0</v>
      </c>
      <c r="J13" s="72"/>
      <c r="K13" s="72"/>
      <c r="L13" s="73"/>
      <c r="M13" s="71">
        <v>0</v>
      </c>
      <c r="N13" s="72"/>
      <c r="O13" s="72"/>
      <c r="P13" s="73"/>
      <c r="Q13" s="71">
        <f t="shared" ref="Q13:Q20" si="1">I13-M13</f>
        <v>0</v>
      </c>
      <c r="R13" s="72"/>
      <c r="S13" s="72"/>
      <c r="T13" s="71">
        <f>Q13*Invoice!$E$38/100</f>
        <v>0</v>
      </c>
      <c r="U13" s="72"/>
      <c r="V13" s="72"/>
      <c r="W13" s="98">
        <f t="shared" ref="W13:W20" si="2">Q13+T13</f>
        <v>0</v>
      </c>
      <c r="X13" s="98"/>
      <c r="Y13" s="98"/>
      <c r="Z13" s="98"/>
      <c r="AA13" s="98"/>
      <c r="AB13" s="98"/>
      <c r="AC13" s="98"/>
      <c r="AD13" s="98"/>
      <c r="AE13" s="46"/>
    </row>
    <row r="14" spans="1:31" ht="21.75" customHeight="1" x14ac:dyDescent="0.5">
      <c r="A14" s="45">
        <v>3</v>
      </c>
      <c r="B14" s="78">
        <f>Invoice!C20</f>
        <v>0</v>
      </c>
      <c r="C14" s="79"/>
      <c r="D14" s="80"/>
      <c r="E14" s="71">
        <f>Invoice!F20</f>
        <v>0</v>
      </c>
      <c r="F14" s="73"/>
      <c r="G14" s="71">
        <f>Invoice!H20</f>
        <v>0</v>
      </c>
      <c r="H14" s="72"/>
      <c r="I14" s="71">
        <f t="shared" si="0"/>
        <v>0</v>
      </c>
      <c r="J14" s="72"/>
      <c r="K14" s="72"/>
      <c r="L14" s="73"/>
      <c r="M14" s="71">
        <v>0</v>
      </c>
      <c r="N14" s="72"/>
      <c r="O14" s="72"/>
      <c r="P14" s="73"/>
      <c r="Q14" s="71">
        <f t="shared" si="1"/>
        <v>0</v>
      </c>
      <c r="R14" s="72"/>
      <c r="S14" s="72"/>
      <c r="T14" s="71">
        <f>Q14*Invoice!$E$38/100</f>
        <v>0</v>
      </c>
      <c r="U14" s="72"/>
      <c r="V14" s="72"/>
      <c r="W14" s="98">
        <f t="shared" si="2"/>
        <v>0</v>
      </c>
      <c r="X14" s="98"/>
      <c r="Y14" s="98"/>
      <c r="Z14" s="98"/>
      <c r="AA14" s="98"/>
      <c r="AB14" s="98"/>
      <c r="AC14" s="98"/>
      <c r="AD14" s="98"/>
      <c r="AE14" s="46"/>
    </row>
    <row r="15" spans="1:31" ht="21.75" customHeight="1" x14ac:dyDescent="0.5">
      <c r="A15" s="45">
        <v>4</v>
      </c>
      <c r="B15" s="78">
        <f>Invoice!C21</f>
        <v>0</v>
      </c>
      <c r="C15" s="79"/>
      <c r="D15" s="80"/>
      <c r="E15" s="71">
        <f>Invoice!F21</f>
        <v>0</v>
      </c>
      <c r="F15" s="73"/>
      <c r="G15" s="71">
        <f>Invoice!H21</f>
        <v>0</v>
      </c>
      <c r="H15" s="72"/>
      <c r="I15" s="71">
        <f t="shared" si="0"/>
        <v>0</v>
      </c>
      <c r="J15" s="72"/>
      <c r="K15" s="72"/>
      <c r="L15" s="73"/>
      <c r="M15" s="71">
        <v>0</v>
      </c>
      <c r="N15" s="72"/>
      <c r="O15" s="72"/>
      <c r="P15" s="73"/>
      <c r="Q15" s="71">
        <f t="shared" si="1"/>
        <v>0</v>
      </c>
      <c r="R15" s="72"/>
      <c r="S15" s="72"/>
      <c r="T15" s="71">
        <f>Q15*Invoice!$E$38/100</f>
        <v>0</v>
      </c>
      <c r="U15" s="72"/>
      <c r="V15" s="72"/>
      <c r="W15" s="98">
        <f t="shared" si="2"/>
        <v>0</v>
      </c>
      <c r="X15" s="98"/>
      <c r="Y15" s="98"/>
      <c r="Z15" s="98"/>
      <c r="AA15" s="98"/>
      <c r="AB15" s="98"/>
      <c r="AC15" s="98"/>
      <c r="AD15" s="98"/>
    </row>
    <row r="16" spans="1:31" ht="21.75" customHeight="1" x14ac:dyDescent="0.5">
      <c r="A16" s="45">
        <v>5</v>
      </c>
      <c r="B16" s="78">
        <f>Invoice!C22</f>
        <v>0</v>
      </c>
      <c r="C16" s="79"/>
      <c r="D16" s="80"/>
      <c r="E16" s="71">
        <f>Invoice!F22</f>
        <v>0</v>
      </c>
      <c r="F16" s="73"/>
      <c r="G16" s="71">
        <f>Invoice!H22</f>
        <v>0</v>
      </c>
      <c r="H16" s="72"/>
      <c r="I16" s="71">
        <f t="shared" si="0"/>
        <v>0</v>
      </c>
      <c r="J16" s="72"/>
      <c r="K16" s="72"/>
      <c r="L16" s="73"/>
      <c r="M16" s="71">
        <v>0</v>
      </c>
      <c r="N16" s="72"/>
      <c r="O16" s="72"/>
      <c r="P16" s="73"/>
      <c r="Q16" s="71">
        <f t="shared" si="1"/>
        <v>0</v>
      </c>
      <c r="R16" s="72"/>
      <c r="S16" s="72"/>
      <c r="T16" s="71">
        <f>Q16*Invoice!$E$38/100</f>
        <v>0</v>
      </c>
      <c r="U16" s="72"/>
      <c r="V16" s="72"/>
      <c r="W16" s="98">
        <f t="shared" si="2"/>
        <v>0</v>
      </c>
      <c r="X16" s="98"/>
      <c r="Y16" s="98"/>
      <c r="Z16" s="98"/>
      <c r="AA16" s="98"/>
      <c r="AB16" s="98"/>
      <c r="AC16" s="98"/>
      <c r="AD16" s="98"/>
    </row>
    <row r="17" spans="1:30" ht="21.75" customHeight="1" x14ac:dyDescent="0.5">
      <c r="A17" s="45">
        <v>6</v>
      </c>
      <c r="B17" s="78">
        <f>Invoice!C23</f>
        <v>0</v>
      </c>
      <c r="C17" s="79"/>
      <c r="D17" s="80"/>
      <c r="E17" s="71">
        <f>Invoice!F23</f>
        <v>0</v>
      </c>
      <c r="F17" s="73"/>
      <c r="G17" s="71">
        <f>Invoice!H23</f>
        <v>0</v>
      </c>
      <c r="H17" s="72"/>
      <c r="I17" s="71">
        <f t="shared" si="0"/>
        <v>0</v>
      </c>
      <c r="J17" s="72"/>
      <c r="K17" s="72"/>
      <c r="L17" s="73"/>
      <c r="M17" s="71">
        <v>0</v>
      </c>
      <c r="N17" s="72"/>
      <c r="O17" s="72"/>
      <c r="P17" s="73"/>
      <c r="Q17" s="71">
        <f t="shared" si="1"/>
        <v>0</v>
      </c>
      <c r="R17" s="72"/>
      <c r="S17" s="72"/>
      <c r="T17" s="71">
        <f>Q17*Invoice!$E$38/100</f>
        <v>0</v>
      </c>
      <c r="U17" s="72"/>
      <c r="V17" s="72"/>
      <c r="W17" s="98">
        <f t="shared" si="2"/>
        <v>0</v>
      </c>
      <c r="X17" s="98"/>
      <c r="Y17" s="98"/>
      <c r="Z17" s="98"/>
      <c r="AA17" s="98"/>
      <c r="AB17" s="98"/>
      <c r="AC17" s="98"/>
      <c r="AD17" s="98"/>
    </row>
    <row r="18" spans="1:30" ht="21.75" customHeight="1" x14ac:dyDescent="0.5">
      <c r="A18" s="45">
        <v>7</v>
      </c>
      <c r="B18" s="78">
        <f>Invoice!C24</f>
        <v>0</v>
      </c>
      <c r="C18" s="79"/>
      <c r="D18" s="80"/>
      <c r="E18" s="71">
        <f>Invoice!F24</f>
        <v>0</v>
      </c>
      <c r="F18" s="73"/>
      <c r="G18" s="71">
        <f>Invoice!H24</f>
        <v>0</v>
      </c>
      <c r="H18" s="72"/>
      <c r="I18" s="71">
        <f t="shared" si="0"/>
        <v>0</v>
      </c>
      <c r="J18" s="72"/>
      <c r="K18" s="72"/>
      <c r="L18" s="73"/>
      <c r="M18" s="71">
        <v>0</v>
      </c>
      <c r="N18" s="72"/>
      <c r="O18" s="72"/>
      <c r="P18" s="73"/>
      <c r="Q18" s="71">
        <f t="shared" si="1"/>
        <v>0</v>
      </c>
      <c r="R18" s="72"/>
      <c r="S18" s="72"/>
      <c r="T18" s="71">
        <f>Q18*Invoice!$E$38/100</f>
        <v>0</v>
      </c>
      <c r="U18" s="72"/>
      <c r="V18" s="72"/>
      <c r="W18" s="98">
        <f t="shared" si="2"/>
        <v>0</v>
      </c>
      <c r="X18" s="98"/>
      <c r="Y18" s="98"/>
      <c r="Z18" s="98"/>
      <c r="AA18" s="98"/>
      <c r="AB18" s="98"/>
      <c r="AC18" s="98"/>
      <c r="AD18" s="98"/>
    </row>
    <row r="19" spans="1:30" ht="21.75" customHeight="1" x14ac:dyDescent="0.5">
      <c r="A19" s="45">
        <v>8</v>
      </c>
      <c r="B19" s="78">
        <f>Invoice!C25</f>
        <v>0</v>
      </c>
      <c r="C19" s="79"/>
      <c r="D19" s="80"/>
      <c r="E19" s="71">
        <f>Invoice!F25</f>
        <v>0</v>
      </c>
      <c r="F19" s="73"/>
      <c r="G19" s="71">
        <f>Invoice!H25</f>
        <v>0</v>
      </c>
      <c r="H19" s="72"/>
      <c r="I19" s="71">
        <f t="shared" si="0"/>
        <v>0</v>
      </c>
      <c r="J19" s="72"/>
      <c r="K19" s="72"/>
      <c r="L19" s="73"/>
      <c r="M19" s="71">
        <v>0</v>
      </c>
      <c r="N19" s="72"/>
      <c r="O19" s="72"/>
      <c r="P19" s="73"/>
      <c r="Q19" s="71">
        <f t="shared" si="1"/>
        <v>0</v>
      </c>
      <c r="R19" s="72"/>
      <c r="S19" s="72"/>
      <c r="T19" s="71">
        <f>Q19*Invoice!$E$38/100</f>
        <v>0</v>
      </c>
      <c r="U19" s="72"/>
      <c r="V19" s="72"/>
      <c r="W19" s="98">
        <f t="shared" si="2"/>
        <v>0</v>
      </c>
      <c r="X19" s="98"/>
      <c r="Y19" s="98"/>
      <c r="Z19" s="98"/>
      <c r="AA19" s="98"/>
      <c r="AB19" s="98"/>
      <c r="AC19" s="98"/>
      <c r="AD19" s="98"/>
    </row>
    <row r="20" spans="1:30" ht="21.75" customHeight="1" x14ac:dyDescent="0.5">
      <c r="A20" s="45">
        <v>9</v>
      </c>
      <c r="B20" s="78">
        <f>Invoice!C26</f>
        <v>0</v>
      </c>
      <c r="C20" s="79"/>
      <c r="D20" s="80"/>
      <c r="E20" s="71">
        <f>Invoice!F26</f>
        <v>0</v>
      </c>
      <c r="F20" s="73"/>
      <c r="G20" s="71">
        <f>Invoice!H26</f>
        <v>0</v>
      </c>
      <c r="H20" s="72"/>
      <c r="I20" s="71">
        <f t="shared" si="0"/>
        <v>0</v>
      </c>
      <c r="J20" s="72"/>
      <c r="K20" s="72"/>
      <c r="L20" s="73"/>
      <c r="M20" s="71">
        <v>0</v>
      </c>
      <c r="N20" s="72"/>
      <c r="O20" s="72"/>
      <c r="P20" s="73"/>
      <c r="Q20" s="71">
        <f t="shared" si="1"/>
        <v>0</v>
      </c>
      <c r="R20" s="72"/>
      <c r="S20" s="72"/>
      <c r="T20" s="71">
        <f>Q20*Invoice!$E$38/100</f>
        <v>0</v>
      </c>
      <c r="U20" s="72"/>
      <c r="V20" s="72"/>
      <c r="W20" s="98">
        <f t="shared" si="2"/>
        <v>0</v>
      </c>
      <c r="X20" s="98"/>
      <c r="Y20" s="98"/>
      <c r="Z20" s="98"/>
      <c r="AA20" s="98"/>
      <c r="AB20" s="98"/>
      <c r="AC20" s="98"/>
      <c r="AD20" s="98"/>
    </row>
    <row r="21" spans="1:30" ht="20.25" customHeight="1" x14ac:dyDescent="0.5">
      <c r="A21" s="74" t="s">
        <v>37</v>
      </c>
      <c r="B21" s="75"/>
      <c r="C21" s="75"/>
      <c r="D21" s="75"/>
      <c r="E21" s="75"/>
      <c r="F21" s="75"/>
      <c r="G21" s="75"/>
      <c r="H21" s="76"/>
      <c r="I21" s="99">
        <f>SUM(I12:L20)</f>
        <v>0</v>
      </c>
      <c r="J21" s="100"/>
      <c r="K21" s="100"/>
      <c r="L21" s="110"/>
      <c r="M21" s="95"/>
      <c r="N21" s="96"/>
      <c r="O21" s="96"/>
      <c r="P21" s="97"/>
      <c r="Q21" s="99">
        <f>SUM(Q12:S20)</f>
        <v>0</v>
      </c>
      <c r="R21" s="100"/>
      <c r="S21" s="100"/>
      <c r="T21" s="99">
        <f>SUM(T12:V20)</f>
        <v>0</v>
      </c>
      <c r="U21" s="100"/>
      <c r="V21" s="100"/>
      <c r="W21" s="94">
        <f>SUM(W12:AD20)</f>
        <v>0</v>
      </c>
      <c r="X21" s="94"/>
      <c r="Y21" s="94"/>
      <c r="Z21" s="94"/>
      <c r="AA21" s="94"/>
      <c r="AB21" s="94"/>
      <c r="AC21" s="94"/>
      <c r="AD21" s="94"/>
    </row>
    <row r="22" spans="1:30" ht="27" customHeight="1" x14ac:dyDescent="0.5">
      <c r="A22" s="48" t="s">
        <v>38</v>
      </c>
      <c r="B22" s="49"/>
      <c r="C22" s="49"/>
      <c r="D22" s="49" t="str">
        <f>Invoice!D39</f>
        <v xml:space="preserve">نقدی </v>
      </c>
      <c r="E22" s="83" t="str">
        <f>Invoice!D40</f>
        <v>صفر تومان</v>
      </c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5"/>
    </row>
    <row r="23" spans="1:30" ht="27" customHeight="1" x14ac:dyDescent="0.5">
      <c r="A23" s="89" t="s">
        <v>39</v>
      </c>
      <c r="B23" s="90"/>
      <c r="C23" s="90"/>
      <c r="D23" s="90"/>
      <c r="E23" s="86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8"/>
    </row>
    <row r="24" spans="1:30" ht="27" customHeight="1" x14ac:dyDescent="0.5">
      <c r="A24" s="81" t="s">
        <v>40</v>
      </c>
      <c r="B24" s="82"/>
      <c r="C24" s="82"/>
      <c r="D24" s="82"/>
      <c r="E24" s="91" t="s">
        <v>41</v>
      </c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3"/>
    </row>
    <row r="31" spans="1:30" x14ac:dyDescent="0.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47"/>
      <c r="X31" s="38"/>
      <c r="Y31" s="38"/>
      <c r="Z31" s="38"/>
      <c r="AA31" s="38"/>
      <c r="AB31" s="38"/>
      <c r="AC31" s="38"/>
      <c r="AD31" s="38"/>
    </row>
  </sheetData>
  <mergeCells count="111">
    <mergeCell ref="G14:H14"/>
    <mergeCell ref="B18:D18"/>
    <mergeCell ref="B19:D19"/>
    <mergeCell ref="I15:L15"/>
    <mergeCell ref="I18:L18"/>
    <mergeCell ref="E15:F15"/>
    <mergeCell ref="E18:F18"/>
    <mergeCell ref="G17:H17"/>
    <mergeCell ref="B16:D16"/>
    <mergeCell ref="E16:F16"/>
    <mergeCell ref="B17:D17"/>
    <mergeCell ref="I17:L17"/>
    <mergeCell ref="E17:F17"/>
    <mergeCell ref="I16:L16"/>
    <mergeCell ref="G16:H16"/>
    <mergeCell ref="I21:L21"/>
    <mergeCell ref="Q13:S13"/>
    <mergeCell ref="M13:P13"/>
    <mergeCell ref="T12:V12"/>
    <mergeCell ref="W13:AD13"/>
    <mergeCell ref="W12:AD12"/>
    <mergeCell ref="I12:L12"/>
    <mergeCell ref="I19:L19"/>
    <mergeCell ref="W19:AD19"/>
    <mergeCell ref="Q14:S14"/>
    <mergeCell ref="W16:AD16"/>
    <mergeCell ref="T16:V16"/>
    <mergeCell ref="T17:V17"/>
    <mergeCell ref="W17:AD17"/>
    <mergeCell ref="Q20:S20"/>
    <mergeCell ref="M16:P16"/>
    <mergeCell ref="Q16:S16"/>
    <mergeCell ref="Q17:S17"/>
    <mergeCell ref="Q18:S18"/>
    <mergeCell ref="Q19:S19"/>
    <mergeCell ref="M17:P17"/>
    <mergeCell ref="Q15:S15"/>
    <mergeCell ref="M20:P20"/>
    <mergeCell ref="M14:P14"/>
    <mergeCell ref="AA1:AC1"/>
    <mergeCell ref="AA3:AC3"/>
    <mergeCell ref="X3:Z3"/>
    <mergeCell ref="E5:P5"/>
    <mergeCell ref="Q5:AD5"/>
    <mergeCell ref="E6:P6"/>
    <mergeCell ref="E12:F12"/>
    <mergeCell ref="G12:H12"/>
    <mergeCell ref="M12:P12"/>
    <mergeCell ref="A4:AD4"/>
    <mergeCell ref="Q9:AD9"/>
    <mergeCell ref="A7:AD7"/>
    <mergeCell ref="A8:D8"/>
    <mergeCell ref="W11:AD11"/>
    <mergeCell ref="Q1:S1"/>
    <mergeCell ref="B11:D11"/>
    <mergeCell ref="A5:D5"/>
    <mergeCell ref="E1:P3"/>
    <mergeCell ref="Q3:S3"/>
    <mergeCell ref="G11:H11"/>
    <mergeCell ref="A10:AD10"/>
    <mergeCell ref="E11:F11"/>
    <mergeCell ref="Q6:AD6"/>
    <mergeCell ref="W1:Z1"/>
    <mergeCell ref="I20:L20"/>
    <mergeCell ref="B20:D20"/>
    <mergeCell ref="E20:F20"/>
    <mergeCell ref="B12:D12"/>
    <mergeCell ref="A24:D24"/>
    <mergeCell ref="E22:AD23"/>
    <mergeCell ref="A23:D23"/>
    <mergeCell ref="E24:AD24"/>
    <mergeCell ref="A21:H21"/>
    <mergeCell ref="W21:AD21"/>
    <mergeCell ref="M21:P21"/>
    <mergeCell ref="W14:AD14"/>
    <mergeCell ref="T20:V20"/>
    <mergeCell ref="T14:V14"/>
    <mergeCell ref="W20:AD20"/>
    <mergeCell ref="G20:H20"/>
    <mergeCell ref="T15:V15"/>
    <mergeCell ref="T18:V18"/>
    <mergeCell ref="T19:V19"/>
    <mergeCell ref="W15:AD15"/>
    <mergeCell ref="W18:AD18"/>
    <mergeCell ref="T21:V21"/>
    <mergeCell ref="Q21:S21"/>
    <mergeCell ref="T13:V13"/>
    <mergeCell ref="A6:D6"/>
    <mergeCell ref="M19:P19"/>
    <mergeCell ref="G15:H15"/>
    <mergeCell ref="G18:H18"/>
    <mergeCell ref="G19:H19"/>
    <mergeCell ref="Q11:S11"/>
    <mergeCell ref="A9:P9"/>
    <mergeCell ref="T11:V11"/>
    <mergeCell ref="E8:P8"/>
    <mergeCell ref="Q8:AD8"/>
    <mergeCell ref="M11:P11"/>
    <mergeCell ref="I11:L11"/>
    <mergeCell ref="B13:D13"/>
    <mergeCell ref="E13:F13"/>
    <mergeCell ref="G13:H13"/>
    <mergeCell ref="I13:L13"/>
    <mergeCell ref="B14:D14"/>
    <mergeCell ref="Q12:S12"/>
    <mergeCell ref="E14:F14"/>
    <mergeCell ref="E19:F19"/>
    <mergeCell ref="I14:L14"/>
    <mergeCell ref="M15:P15"/>
    <mergeCell ref="M18:P18"/>
    <mergeCell ref="B15:D15"/>
  </mergeCells>
  <pageMargins left="0.15" right="0.25" top="0.4" bottom="0.31" header="0.3" footer="0.18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K31"/>
  <sheetViews>
    <sheetView showGridLines="0" showZeros="0" rightToLeft="1" view="pageLayout" zoomScale="55" zoomScaleNormal="100" zoomScaleSheetLayoutView="85" zoomScalePageLayoutView="55" workbookViewId="0">
      <selection activeCell="D32" sqref="D32"/>
    </sheetView>
  </sheetViews>
  <sheetFormatPr defaultColWidth="9.1171875" defaultRowHeight="13.7" x14ac:dyDescent="0.4"/>
  <cols>
    <col min="1" max="1" width="1.41015625" style="1" customWidth="1"/>
    <col min="2" max="2" width="6" style="1" customWidth="1"/>
    <col min="3" max="3" width="13.5859375" style="1" customWidth="1"/>
    <col min="4" max="4" width="12.703125" style="1" customWidth="1"/>
    <col min="5" max="5" width="13.5859375" style="1" customWidth="1"/>
    <col min="6" max="6" width="8.1171875" style="1" customWidth="1"/>
    <col min="7" max="7" width="9.1171875" style="1"/>
    <col min="8" max="8" width="12.87890625" style="1" customWidth="1"/>
    <col min="9" max="9" width="13.87890625" style="1" customWidth="1"/>
    <col min="10" max="10" width="3.29296875" style="1" customWidth="1"/>
    <col min="11" max="11" width="10.87890625" style="1" customWidth="1"/>
    <col min="12" max="16384" width="9.1171875" style="1"/>
  </cols>
  <sheetData>
    <row r="1" spans="2:11" ht="22.5" customHeight="1" x14ac:dyDescent="0.5">
      <c r="D1" s="111" t="s">
        <v>46</v>
      </c>
      <c r="E1" s="111"/>
      <c r="F1" s="111"/>
      <c r="G1" s="111"/>
      <c r="H1" s="22" t="s">
        <v>14</v>
      </c>
      <c r="I1" s="23" t="str">
        <f>Invoice!I1</f>
        <v>1400-04-16</v>
      </c>
    </row>
    <row r="2" spans="2:11" s="2" customFormat="1" ht="22.5" customHeight="1" x14ac:dyDescent="0.5">
      <c r="F2" s="4"/>
      <c r="H2" s="22" t="s">
        <v>15</v>
      </c>
      <c r="I2" s="23">
        <v>3</v>
      </c>
    </row>
    <row r="3" spans="2:11" s="2" customFormat="1" ht="17" x14ac:dyDescent="0.5">
      <c r="B3" s="50" t="s">
        <v>44</v>
      </c>
      <c r="D3" s="112"/>
      <c r="E3" s="112"/>
      <c r="F3" s="50" t="s">
        <v>0</v>
      </c>
      <c r="H3" s="36">
        <f>Invoice!$D$10</f>
        <v>0</v>
      </c>
      <c r="I3" s="2" t="str">
        <f>IFERROR(VLOOKUP($D$3,Contact!$A$2:$G$334,3,0),"")</f>
        <v/>
      </c>
      <c r="J3" s="3"/>
      <c r="K3" s="3"/>
    </row>
    <row r="4" spans="2:11" s="2" customFormat="1" ht="6.75" customHeight="1" x14ac:dyDescent="0.5">
      <c r="B4" s="51"/>
    </row>
    <row r="5" spans="2:11" s="2" customFormat="1" ht="15" customHeight="1" x14ac:dyDescent="0.5">
      <c r="B5" s="50" t="s">
        <v>45</v>
      </c>
      <c r="D5" s="65" t="str">
        <f>Invoice!$I$5</f>
        <v/>
      </c>
      <c r="E5" s="65"/>
      <c r="F5" s="50" t="s">
        <v>3</v>
      </c>
      <c r="H5" s="2" t="str">
        <f>Invoice!$I$12</f>
        <v/>
      </c>
      <c r="I5" s="2" t="str">
        <f>IFERROR(VLOOKUP($D$3,Contact!$A$2:$G$334,6,0),"")</f>
        <v/>
      </c>
      <c r="J5" s="3"/>
      <c r="K5" s="3"/>
    </row>
    <row r="6" spans="2:11" s="2" customFormat="1" ht="6.75" customHeight="1" x14ac:dyDescent="0.5">
      <c r="B6" s="51"/>
      <c r="F6" s="51"/>
      <c r="H6" s="37"/>
    </row>
    <row r="7" spans="2:11" s="2" customFormat="1" ht="14.7" x14ac:dyDescent="0.5">
      <c r="B7" s="113" t="str">
        <f>"      آدرس: " &amp;Invoice!$C$7</f>
        <v xml:space="preserve">      آدرس: </v>
      </c>
      <c r="C7" s="113"/>
      <c r="D7" s="113"/>
      <c r="E7" s="113"/>
      <c r="F7" s="50" t="s">
        <v>4</v>
      </c>
      <c r="G7" s="2" t="str">
        <f>Invoice!$C$14</f>
        <v/>
      </c>
      <c r="H7" s="36"/>
      <c r="I7" s="2" t="str">
        <f>IFERROR(VLOOKUP($D$3,Contact!$A$2:$G$334,5,0),"")</f>
        <v/>
      </c>
    </row>
    <row r="9" spans="2:11" s="2" customFormat="1" ht="4.5" customHeight="1" x14ac:dyDescent="0.5">
      <c r="F9" s="4"/>
    </row>
    <row r="10" spans="2:11" ht="21" customHeight="1" x14ac:dyDescent="1.4">
      <c r="B10" s="35" t="s">
        <v>6</v>
      </c>
      <c r="C10" s="66" t="s">
        <v>23</v>
      </c>
      <c r="D10" s="66"/>
      <c r="E10" s="66"/>
      <c r="F10" s="35" t="s">
        <v>8</v>
      </c>
      <c r="G10" s="35" t="s">
        <v>24</v>
      </c>
      <c r="H10" s="35" t="s">
        <v>7</v>
      </c>
      <c r="I10" s="35" t="s">
        <v>9</v>
      </c>
      <c r="J10" s="6"/>
      <c r="K10" s="6"/>
    </row>
    <row r="11" spans="2:11" ht="18.75" customHeight="1" x14ac:dyDescent="0.95">
      <c r="B11" s="29" t="str">
        <f>Invoice!B18</f>
        <v/>
      </c>
      <c r="C11" s="30">
        <f>Invoice!C18</f>
        <v>0</v>
      </c>
      <c r="D11" s="31"/>
      <c r="E11" s="32"/>
      <c r="F11" s="29">
        <f>Invoice!F18</f>
        <v>0</v>
      </c>
      <c r="G11" s="29">
        <f>Invoice!G18</f>
        <v>0</v>
      </c>
      <c r="H11" s="29">
        <f>Invoice!H18</f>
        <v>0</v>
      </c>
      <c r="I11" s="33">
        <f t="shared" ref="I11:I15" si="0">H11*F11</f>
        <v>0</v>
      </c>
      <c r="J11" s="5"/>
      <c r="K11" s="5"/>
    </row>
    <row r="12" spans="2:11" ht="18.75" customHeight="1" x14ac:dyDescent="0.95">
      <c r="B12" s="29" t="str">
        <f>Invoice!B19</f>
        <v/>
      </c>
      <c r="C12" s="30">
        <f>Invoice!C19</f>
        <v>0</v>
      </c>
      <c r="D12" s="31"/>
      <c r="E12" s="32"/>
      <c r="F12" s="29">
        <f>Invoice!F19</f>
        <v>0</v>
      </c>
      <c r="G12" s="29">
        <f>Invoice!G19</f>
        <v>0</v>
      </c>
      <c r="H12" s="29">
        <f>Invoice!H19</f>
        <v>0</v>
      </c>
      <c r="I12" s="33">
        <f t="shared" si="0"/>
        <v>0</v>
      </c>
      <c r="J12" s="5"/>
      <c r="K12" s="5"/>
    </row>
    <row r="13" spans="2:11" ht="18.75" customHeight="1" x14ac:dyDescent="0.95">
      <c r="B13" s="29" t="str">
        <f>Invoice!B20</f>
        <v/>
      </c>
      <c r="C13" s="30">
        <f>Invoice!C20</f>
        <v>0</v>
      </c>
      <c r="D13" s="31"/>
      <c r="E13" s="32"/>
      <c r="F13" s="29">
        <f>Invoice!F20</f>
        <v>0</v>
      </c>
      <c r="G13" s="29">
        <f>Invoice!G20</f>
        <v>0</v>
      </c>
      <c r="H13" s="29">
        <f>Invoice!H20</f>
        <v>0</v>
      </c>
      <c r="I13" s="33">
        <f t="shared" si="0"/>
        <v>0</v>
      </c>
      <c r="J13" s="5"/>
      <c r="K13" s="5"/>
    </row>
    <row r="14" spans="2:11" ht="18.75" customHeight="1" x14ac:dyDescent="0.95">
      <c r="B14" s="29" t="str">
        <f>Invoice!B21</f>
        <v/>
      </c>
      <c r="C14" s="30">
        <f>Invoice!C21</f>
        <v>0</v>
      </c>
      <c r="D14" s="31"/>
      <c r="E14" s="32"/>
      <c r="F14" s="29">
        <f>Invoice!F21</f>
        <v>0</v>
      </c>
      <c r="G14" s="29">
        <f>Invoice!G21</f>
        <v>0</v>
      </c>
      <c r="H14" s="29">
        <f>Invoice!H21</f>
        <v>0</v>
      </c>
      <c r="I14" s="33">
        <f t="shared" si="0"/>
        <v>0</v>
      </c>
      <c r="J14" s="5"/>
      <c r="K14" s="5"/>
    </row>
    <row r="15" spans="2:11" ht="18.75" customHeight="1" x14ac:dyDescent="0.95">
      <c r="B15" s="29" t="str">
        <f>Invoice!B22</f>
        <v/>
      </c>
      <c r="C15" s="30">
        <f>Invoice!C22</f>
        <v>0</v>
      </c>
      <c r="D15" s="31"/>
      <c r="E15" s="32"/>
      <c r="F15" s="29">
        <f>Invoice!F22</f>
        <v>0</v>
      </c>
      <c r="G15" s="29">
        <f>Invoice!G22</f>
        <v>0</v>
      </c>
      <c r="H15" s="29">
        <f>Invoice!H22</f>
        <v>0</v>
      </c>
      <c r="I15" s="33">
        <f t="shared" si="0"/>
        <v>0</v>
      </c>
      <c r="J15" s="5"/>
      <c r="K15" s="5"/>
    </row>
    <row r="16" spans="2:11" ht="18.75" customHeight="1" x14ac:dyDescent="0.4">
      <c r="B16" s="2"/>
      <c r="C16" s="24"/>
      <c r="D16" s="25"/>
      <c r="E16" s="34"/>
      <c r="F16" s="2"/>
      <c r="G16" s="2"/>
      <c r="H16" s="26" t="s">
        <v>10</v>
      </c>
      <c r="I16" s="27">
        <f>SUM(I11:I15)</f>
        <v>0</v>
      </c>
    </row>
    <row r="17" spans="2:11" s="2" customFormat="1" ht="18.75" customHeight="1" x14ac:dyDescent="0.5">
      <c r="B17" s="2" t="s">
        <v>42</v>
      </c>
      <c r="D17" s="2" t="str">
        <f>Invoice!D39</f>
        <v xml:space="preserve">نقدی </v>
      </c>
      <c r="G17" s="28"/>
      <c r="H17" s="26" t="s">
        <v>11</v>
      </c>
      <c r="I17" s="27">
        <f>Invoice!$I$39</f>
        <v>0</v>
      </c>
    </row>
    <row r="18" spans="2:11" ht="18.75" customHeight="1" x14ac:dyDescent="0.4">
      <c r="B18" s="19" t="s">
        <v>27</v>
      </c>
      <c r="C18" s="20"/>
      <c r="D18" s="62" t="str">
        <f>Invoice!D40</f>
        <v>صفر تومان</v>
      </c>
      <c r="E18" s="62"/>
      <c r="F18" s="62"/>
      <c r="G18" s="63"/>
      <c r="H18" s="26"/>
      <c r="I18" s="27">
        <f>Invoice!$I$40</f>
        <v>0</v>
      </c>
    </row>
    <row r="19" spans="2:11" ht="18.75" customHeight="1" x14ac:dyDescent="0.4">
      <c r="B19" s="20"/>
      <c r="C19" s="20"/>
      <c r="D19" s="62"/>
      <c r="E19" s="62"/>
      <c r="F19" s="62"/>
      <c r="G19" s="63"/>
      <c r="H19" s="26"/>
      <c r="I19" s="27">
        <f>I16+I17-I18</f>
        <v>0</v>
      </c>
    </row>
    <row r="20" spans="2:11" x14ac:dyDescent="0.4">
      <c r="K20" s="1" t="s">
        <v>64</v>
      </c>
    </row>
    <row r="31" spans="2:11" s="5" customFormat="1" ht="18.350000000000001" x14ac:dyDescent="0.95"/>
  </sheetData>
  <mergeCells count="6">
    <mergeCell ref="D1:G1"/>
    <mergeCell ref="C10:E10"/>
    <mergeCell ref="D18:G19"/>
    <mergeCell ref="D3:E3"/>
    <mergeCell ref="D5:E5"/>
    <mergeCell ref="B7:E7"/>
  </mergeCells>
  <pageMargins left="0.25" right="0.1" top="0.23" bottom="0.1" header="0.08" footer="0.05"/>
  <pageSetup paperSize="1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kala</vt:lpstr>
      <vt:lpstr>Contact</vt:lpstr>
      <vt:lpstr>Invoice</vt:lpstr>
      <vt:lpstr>Invoice1</vt:lpstr>
      <vt:lpstr>invoice2</vt:lpstr>
      <vt:lpstr>Invoice!Print_Area</vt:lpstr>
      <vt:lpstr>invoice2!Print_Area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Nader</dc:creator>
  <cp:lastModifiedBy>Nader Bahri</cp:lastModifiedBy>
  <cp:lastPrinted>2020-02-26T13:21:12Z</cp:lastPrinted>
  <dcterms:created xsi:type="dcterms:W3CDTF">2016-12-02T08:53:37Z</dcterms:created>
  <dcterms:modified xsi:type="dcterms:W3CDTF">2026-08-16T16:33:50Z</dcterms:modified>
</cp:coreProperties>
</file>