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3" yWindow="-93" windowWidth="25786" windowHeight="13866" tabRatio="600" firstSheet="0" activeTab="2" autoFilterDateGrouping="1"/>
  </bookViews>
  <sheets>
    <sheet name="kala" sheetId="1" state="visible" r:id="rId1"/>
    <sheet name="Contact" sheetId="2" state="visible" r:id="rId2"/>
    <sheet name="Invoice" sheetId="3" state="visible" r:id="rId3"/>
    <sheet name="Invoice1" sheetId="4" state="visible" r:id="rId4"/>
    <sheet name="invoice2" sheetId="5" state="visible" r:id="rId5"/>
  </sheets>
  <definedNames>
    <definedName name="kala">OFFSET(kala!$A$2,,,COUNTA(kala!$A$2:$A$31))</definedName>
    <definedName name="taraf">OFFSET(Contact!$A$2,,,COUNTA(Contact!$A$2:$A$49))</definedName>
    <definedName name="_xlnm.Print_Area" localSheetId="2">'Invoice'!$A$1:$I$53</definedName>
    <definedName name="_xlnm.Print_Area" localSheetId="4">'invoice2'!$A$1:$I$25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_-"/>
  </numFmts>
  <fonts count="22">
    <font>
      <name val="Calibri"/>
      <family val="2"/>
      <color theme="1"/>
      <sz val="11"/>
      <scheme val="minor"/>
    </font>
    <font>
      <name val="Tahoma"/>
      <family val="2"/>
      <color theme="1"/>
      <sz val="11"/>
    </font>
    <font>
      <name val="Tahoma"/>
      <family val="2"/>
      <b val="1"/>
      <color theme="1"/>
      <sz val="11"/>
    </font>
    <font>
      <name val="B Yekan"/>
      <charset val="178"/>
      <color theme="1"/>
      <sz val="11"/>
    </font>
    <font>
      <name val="B Titr"/>
      <charset val="178"/>
      <color theme="1"/>
      <sz val="12"/>
    </font>
    <font>
      <name val="B Yekan"/>
      <charset val="178"/>
      <color theme="1"/>
      <sz val="12"/>
    </font>
    <font>
      <name val="Tahoma"/>
      <family val="2"/>
      <color theme="1"/>
      <sz val="10"/>
    </font>
    <font>
      <name val="Tahoma"/>
      <family val="2"/>
      <b val="1"/>
      <color theme="0"/>
      <sz val="10"/>
    </font>
    <font>
      <name val="Tahoma"/>
      <family val="2"/>
      <color theme="0"/>
      <sz val="11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theme="1"/>
      <sz val="12"/>
    </font>
    <font>
      <name val="Tahoma"/>
      <family val="2"/>
      <b val="1"/>
      <color theme="1"/>
      <sz val="12"/>
    </font>
    <font>
      <name val="Arial"/>
      <family val="2"/>
      <sz val="10"/>
    </font>
    <font>
      <name val="Tahoma"/>
      <family val="2"/>
      <sz val="10"/>
    </font>
    <font>
      <name val="Tahoma"/>
      <family val="2"/>
      <b val="1"/>
      <sz val="16"/>
      <u val="single"/>
    </font>
    <font>
      <name val="Tahoma"/>
      <family val="2"/>
      <b val="1"/>
      <sz val="12"/>
    </font>
    <font>
      <name val="Tahoma"/>
      <family val="2"/>
      <b val="1"/>
      <sz val="10"/>
    </font>
    <font>
      <name val="Tahoma"/>
      <family val="2"/>
      <sz val="12"/>
    </font>
    <font>
      <name val="Tahoma"/>
      <family val="2"/>
      <b val="1"/>
      <sz val="13"/>
    </font>
    <font>
      <name val="Tahoma"/>
      <family val="2"/>
      <b val="1"/>
      <color theme="1"/>
      <sz val="10"/>
    </font>
    <font>
      <name val="Tahoma"/>
      <family val="2"/>
      <b val="1"/>
      <color theme="1"/>
      <sz val="14"/>
    </font>
  </fonts>
  <fills count="6">
    <fill>
      <patternFill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0" fillId="0" borderId="0"/>
    <xf numFmtId="0" fontId="13" fillId="0" borderId="0"/>
    <xf numFmtId="0" fontId="10" fillId="0" borderId="0"/>
  </cellStyleXfs>
  <cellXfs count="126">
    <xf numFmtId="0" fontId="0" fillId="0" borderId="0" pivotButton="0" quotePrefix="0" xfId="0"/>
    <xf numFmtId="0" fontId="1" fillId="0" borderId="0" pivotButton="0" quotePrefix="0" xfId="0"/>
    <xf numFmtId="0" fontId="1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5" fillId="0" borderId="0" pivotButton="0" quotePrefix="0" xfId="0"/>
    <xf numFmtId="0" fontId="4" fillId="0" borderId="0" pivotButton="0" quotePrefix="0" xfId="0"/>
    <xf numFmtId="0" fontId="7" fillId="2" borderId="3" applyAlignment="1" pivotButton="0" quotePrefix="0" xfId="0">
      <alignment horizontal="center"/>
    </xf>
    <xf numFmtId="0" fontId="6" fillId="3" borderId="3" applyAlignment="1" pivotButton="0" quotePrefix="0" xfId="0">
      <alignment horizontal="center"/>
    </xf>
    <xf numFmtId="0" fontId="6" fillId="0" borderId="3" applyAlignment="1" pivotButton="0" quotePrefix="0" xfId="0">
      <alignment horizontal="center"/>
    </xf>
    <xf numFmtId="0" fontId="6" fillId="3" borderId="3" applyAlignment="1" pivotButton="0" quotePrefix="0" xfId="0">
      <alignment horizontal="right"/>
    </xf>
    <xf numFmtId="0" fontId="6" fillId="0" borderId="3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0" fontId="7" fillId="2" borderId="7" applyAlignment="1" pivotButton="0" quotePrefix="0" xfId="0">
      <alignment horizontal="center"/>
    </xf>
    <xf numFmtId="0" fontId="7" fillId="2" borderId="8" applyAlignment="1" pivotButton="0" quotePrefix="0" xfId="0">
      <alignment horizontal="center"/>
    </xf>
    <xf numFmtId="0" fontId="6" fillId="3" borderId="7" applyAlignment="1" pivotButton="0" quotePrefix="0" xfId="0">
      <alignment horizontal="right"/>
    </xf>
    <xf numFmtId="0" fontId="6" fillId="3" borderId="8" applyAlignment="1" pivotButton="0" quotePrefix="0" xfId="0">
      <alignment horizontal="center"/>
    </xf>
    <xf numFmtId="0" fontId="6" fillId="0" borderId="7" applyAlignment="1" pivotButton="0" quotePrefix="0" xfId="0">
      <alignment horizontal="right"/>
    </xf>
    <xf numFmtId="0" fontId="6" fillId="0" borderId="8" applyAlignment="1" pivotButton="0" quotePrefix="0" xfId="0">
      <alignment horizontal="center"/>
    </xf>
    <xf numFmtId="0" fontId="2" fillId="0" borderId="0" applyAlignment="1" pivotButton="0" quotePrefix="0" xfId="0">
      <alignment vertical="top"/>
    </xf>
    <xf numFmtId="0" fontId="1" fillId="0" borderId="0" applyAlignment="1" pivotButton="0" quotePrefix="0" xfId="0">
      <alignment vertical="top"/>
    </xf>
    <xf numFmtId="0" fontId="9" fillId="0" borderId="0" pivotButton="0" quotePrefix="0" xfId="0"/>
    <xf numFmtId="0" fontId="1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2" applyAlignment="1" pivotButton="0" quotePrefix="0" xfId="0">
      <alignment vertical="center"/>
    </xf>
    <xf numFmtId="9" fontId="1" fillId="0" borderId="0" applyAlignment="1" pivotButton="0" quotePrefix="0" xfId="0">
      <alignment vertical="center" readingOrder="2"/>
    </xf>
    <xf numFmtId="0" fontId="1" fillId="0" borderId="1" applyAlignment="1" pivotButton="0" quotePrefix="0" xfId="0">
      <alignment horizontal="left" vertical="center"/>
    </xf>
    <xf numFmtId="3" fontId="1" fillId="0" borderId="1" applyAlignment="1" pivotButton="0" quotePrefix="0" xfId="0">
      <alignment horizontal="center" vertical="center"/>
    </xf>
    <xf numFmtId="9" fontId="6" fillId="0" borderId="0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5" applyAlignment="1" pivotButton="0" quotePrefix="0" xfId="0">
      <alignment vertical="center"/>
    </xf>
    <xf numFmtId="0" fontId="11" fillId="0" borderId="6" applyAlignment="1" pivotButton="0" quotePrefix="0" xfId="0">
      <alignment vertical="center"/>
    </xf>
    <xf numFmtId="3" fontId="11" fillId="0" borderId="1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0" fontId="12" fillId="4" borderId="1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13" fillId="0" borderId="0" pivotButton="0" quotePrefix="0" xfId="1"/>
    <xf numFmtId="0" fontId="14" fillId="0" borderId="0" applyAlignment="1" pivotButton="0" quotePrefix="0" xfId="1">
      <alignment vertical="center"/>
    </xf>
    <xf numFmtId="0" fontId="15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left" vertical="center"/>
    </xf>
    <xf numFmtId="14" fontId="14" fillId="0" borderId="0" applyAlignment="1" pivotButton="0" quotePrefix="0" xfId="1">
      <alignment vertical="center"/>
    </xf>
    <xf numFmtId="0" fontId="14" fillId="0" borderId="0" applyAlignment="1" pivotButton="0" quotePrefix="0" xfId="1">
      <alignment vertical="center" readingOrder="1"/>
    </xf>
    <xf numFmtId="0" fontId="14" fillId="0" borderId="1" applyAlignment="1" pivotButton="0" quotePrefix="0" xfId="1">
      <alignment horizontal="center" vertical="center" textRotation="90"/>
    </xf>
    <xf numFmtId="3" fontId="18" fillId="0" borderId="4" applyAlignment="1" pivotButton="0" quotePrefix="0" xfId="1">
      <alignment horizontal="center" vertical="center"/>
    </xf>
    <xf numFmtId="0" fontId="18" fillId="0" borderId="0" applyAlignment="1" pivotButton="0" quotePrefix="0" xfId="1">
      <alignment vertical="center"/>
    </xf>
    <xf numFmtId="164" fontId="14" fillId="0" borderId="0" applyAlignment="1" pivotButton="0" quotePrefix="0" xfId="1">
      <alignment vertical="center"/>
    </xf>
    <xf numFmtId="0" fontId="14" fillId="0" borderId="4" applyAlignment="1" pivotButton="0" quotePrefix="0" xfId="1">
      <alignment vertical="center"/>
    </xf>
    <xf numFmtId="0" fontId="14" fillId="0" borderId="5" applyAlignment="1" pivotButton="0" quotePrefix="0" xfId="1">
      <alignment vertical="center"/>
    </xf>
    <xf numFmtId="0" fontId="2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1" fillId="5" borderId="0" applyAlignment="1" pivotButton="0" quotePrefix="0" xfId="0">
      <alignment vertical="center"/>
    </xf>
    <xf numFmtId="0" fontId="3" fillId="5" borderId="0" applyAlignment="1" pivotButton="0" quotePrefix="0" xfId="0">
      <alignment vertical="center"/>
    </xf>
    <xf numFmtId="0" fontId="1" fillId="5" borderId="0" pivotButton="0" quotePrefix="0" xfId="0"/>
    <xf numFmtId="0" fontId="5" fillId="5" borderId="0" pivotButton="0" quotePrefix="0" xfId="0"/>
    <xf numFmtId="0" fontId="11" fillId="0" borderId="0" applyAlignment="1" pivotButton="0" quotePrefix="0" xfId="0">
      <alignment vertical="center"/>
    </xf>
    <xf numFmtId="0" fontId="2" fillId="4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right" vertical="center"/>
    </xf>
    <xf numFmtId="0" fontId="1" fillId="4" borderId="0" pivotButton="0" quotePrefix="0" xfId="0"/>
    <xf numFmtId="0" fontId="1" fillId="4" borderId="0" applyAlignment="1" pivotButton="0" quotePrefix="0" xfId="0">
      <alignment horizontal="center" vertical="center"/>
    </xf>
    <xf numFmtId="0" fontId="11" fillId="5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right" vertical="top" wrapText="1"/>
    </xf>
    <xf numFmtId="0" fontId="6" fillId="0" borderId="9" applyAlignment="1" pivotButton="0" quotePrefix="0" xfId="0">
      <alignment horizontal="right" vertical="top" wrapText="1"/>
    </xf>
    <xf numFmtId="0" fontId="1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2" fillId="4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right" vertical="center"/>
    </xf>
    <xf numFmtId="0" fontId="17" fillId="0" borderId="4" applyAlignment="1" pivotButton="0" quotePrefix="0" xfId="1">
      <alignment horizontal="right" vertical="center"/>
    </xf>
    <xf numFmtId="0" fontId="17" fillId="0" borderId="5" applyAlignment="1" pivotButton="0" quotePrefix="0" xfId="1">
      <alignment horizontal="right" vertical="center"/>
    </xf>
    <xf numFmtId="0" fontId="17" fillId="0" borderId="6" applyAlignment="1" pivotButton="0" quotePrefix="0" xfId="1">
      <alignment horizontal="right" vertical="center"/>
    </xf>
    <xf numFmtId="3" fontId="18" fillId="0" borderId="4" applyAlignment="1" pivotButton="0" quotePrefix="0" xfId="1">
      <alignment horizontal="center" vertical="center"/>
    </xf>
    <xf numFmtId="3" fontId="18" fillId="0" borderId="5" applyAlignment="1" pivotButton="0" quotePrefix="0" xfId="1">
      <alignment horizontal="center" vertical="center"/>
    </xf>
    <xf numFmtId="3" fontId="18" fillId="0" borderId="6" applyAlignment="1" pivotButton="0" quotePrefix="0" xfId="1">
      <alignment horizontal="center" vertical="center"/>
    </xf>
    <xf numFmtId="0" fontId="14" fillId="0" borderId="4" applyAlignment="1" pivotButton="0" quotePrefix="0" xfId="1">
      <alignment horizontal="center" vertical="center" wrapText="1"/>
    </xf>
    <xf numFmtId="0" fontId="14" fillId="0" borderId="5" applyAlignment="1" pivotButton="0" quotePrefix="0" xfId="1">
      <alignment horizontal="center" vertical="center" wrapText="1"/>
    </xf>
    <xf numFmtId="0" fontId="14" fillId="0" borderId="6" applyAlignment="1" pivotButton="0" quotePrefix="0" xfId="1">
      <alignment horizontal="center" vertical="center" wrapText="1"/>
    </xf>
    <xf numFmtId="0" fontId="17" fillId="0" borderId="1" applyAlignment="1" pivotButton="0" quotePrefix="0" xfId="1">
      <alignment horizontal="right" vertical="center"/>
    </xf>
    <xf numFmtId="0" fontId="18" fillId="0" borderId="4" applyAlignment="1" pivotButton="0" quotePrefix="0" xfId="1">
      <alignment horizontal="right" vertical="center"/>
    </xf>
    <xf numFmtId="0" fontId="18" fillId="0" borderId="5" applyAlignment="1" pivotButton="0" quotePrefix="0" xfId="1">
      <alignment horizontal="right" vertical="center"/>
    </xf>
    <xf numFmtId="0" fontId="18" fillId="0" borderId="6" applyAlignment="1" pivotButton="0" quotePrefix="0" xfId="1">
      <alignment horizontal="right" vertical="center"/>
    </xf>
    <xf numFmtId="0" fontId="18" fillId="0" borderId="4" applyAlignment="1" pivotButton="0" quotePrefix="0" xfId="1">
      <alignment horizontal="center" vertical="center" wrapText="1"/>
    </xf>
    <xf numFmtId="0" fontId="18" fillId="0" borderId="5" applyAlignment="1" pivotButton="0" quotePrefix="0" xfId="1">
      <alignment horizontal="center" vertical="center" wrapText="1"/>
    </xf>
    <xf numFmtId="0" fontId="14" fillId="0" borderId="10" applyAlignment="1" pivotButton="0" quotePrefix="0" xfId="1">
      <alignment horizontal="right" vertical="center"/>
    </xf>
    <xf numFmtId="0" fontId="14" fillId="0" borderId="2" applyAlignment="1" pivotButton="0" quotePrefix="0" xfId="1">
      <alignment horizontal="right" vertical="center"/>
    </xf>
    <xf numFmtId="0" fontId="14" fillId="0" borderId="14" applyAlignment="1" pivotButton="0" quotePrefix="0" xfId="1">
      <alignment horizontal="right" vertical="center"/>
    </xf>
    <xf numFmtId="0" fontId="14" fillId="0" borderId="11" applyAlignment="1" pivotButton="0" quotePrefix="0" xfId="1">
      <alignment horizontal="right" vertical="center"/>
    </xf>
    <xf numFmtId="0" fontId="14" fillId="0" borderId="12" applyAlignment="1" pivotButton="0" quotePrefix="0" xfId="1">
      <alignment horizontal="right" vertical="center"/>
    </xf>
    <xf numFmtId="0" fontId="14" fillId="0" borderId="13" applyAlignment="1" pivotButton="0" quotePrefix="0" xfId="1">
      <alignment horizontal="right" vertical="center"/>
    </xf>
    <xf numFmtId="0" fontId="14" fillId="0" borderId="4" applyAlignment="1" pivotButton="0" quotePrefix="0" xfId="1">
      <alignment horizontal="right" vertical="center"/>
    </xf>
    <xf numFmtId="0" fontId="14" fillId="0" borderId="5" applyAlignment="1" pivotButton="0" quotePrefix="0" xfId="1">
      <alignment horizontal="right" vertical="center"/>
    </xf>
    <xf numFmtId="0" fontId="18" fillId="0" borderId="4" applyAlignment="1" pivotButton="0" quotePrefix="0" xfId="1">
      <alignment horizontal="center" vertical="center"/>
    </xf>
    <xf numFmtId="0" fontId="18" fillId="0" borderId="5" applyAlignment="1" pivotButton="0" quotePrefix="0" xfId="1">
      <alignment horizontal="center" vertical="center"/>
    </xf>
    <xf numFmtId="0" fontId="18" fillId="0" borderId="6" applyAlignment="1" pivotButton="0" quotePrefix="0" xfId="1">
      <alignment horizontal="center" vertical="center"/>
    </xf>
    <xf numFmtId="3" fontId="17" fillId="0" borderId="1" applyAlignment="1" pivotButton="0" quotePrefix="0" xfId="1">
      <alignment horizontal="center" vertical="center"/>
    </xf>
    <xf numFmtId="0" fontId="14" fillId="0" borderId="4" applyAlignment="1" pivotButton="0" quotePrefix="0" xfId="1">
      <alignment horizontal="center" vertical="center"/>
    </xf>
    <xf numFmtId="0" fontId="14" fillId="0" borderId="5" applyAlignment="1" pivotButton="0" quotePrefix="0" xfId="1">
      <alignment horizontal="center" vertical="center"/>
    </xf>
    <xf numFmtId="0" fontId="14" fillId="0" borderId="6" applyAlignment="1" pivotButton="0" quotePrefix="0" xfId="1">
      <alignment horizontal="center" vertical="center"/>
    </xf>
    <xf numFmtId="3" fontId="18" fillId="0" borderId="1" applyAlignment="1" pivotButton="0" quotePrefix="0" xfId="1">
      <alignment horizontal="center" vertical="center"/>
    </xf>
    <xf numFmtId="3" fontId="14" fillId="0" borderId="4" applyAlignment="1" pivotButton="0" quotePrefix="0" xfId="1">
      <alignment horizontal="center" vertical="center"/>
    </xf>
    <xf numFmtId="3" fontId="14" fillId="0" borderId="5" applyAlignment="1" pivotButton="0" quotePrefix="0" xfId="1">
      <alignment horizontal="center" vertical="center"/>
    </xf>
    <xf numFmtId="0" fontId="14" fillId="0" borderId="1" applyAlignment="1" pivotButton="0" quotePrefix="0" xfId="1">
      <alignment horizontal="center" vertical="center"/>
    </xf>
    <xf numFmtId="0" fontId="14" fillId="0" borderId="0" applyAlignment="1" pivotButton="0" quotePrefix="0" xfId="1">
      <alignment horizontal="center" vertical="center"/>
    </xf>
    <xf numFmtId="0" fontId="16" fillId="5" borderId="1" applyAlignment="1" pivotButton="0" quotePrefix="0" xfId="1">
      <alignment horizontal="center" vertical="center" readingOrder="1"/>
    </xf>
    <xf numFmtId="0" fontId="14" fillId="0" borderId="1" applyAlignment="1" pivotButton="0" quotePrefix="0" xfId="1">
      <alignment horizontal="center" vertical="center" wrapText="1"/>
    </xf>
    <xf numFmtId="0" fontId="19" fillId="0" borderId="0" applyAlignment="1" pivotButton="0" quotePrefix="0" xfId="1">
      <alignment horizontal="center" vertical="center"/>
    </xf>
    <xf numFmtId="0" fontId="16" fillId="5" borderId="4" applyAlignment="1" pivotButton="0" quotePrefix="0" xfId="1">
      <alignment horizontal="center" vertical="center" readingOrder="1"/>
    </xf>
    <xf numFmtId="0" fontId="16" fillId="5" borderId="5" applyAlignment="1" pivotButton="0" quotePrefix="0" xfId="1">
      <alignment horizontal="center" vertical="center" readingOrder="1"/>
    </xf>
    <xf numFmtId="0" fontId="16" fillId="5" borderId="6" applyAlignment="1" pivotButton="0" quotePrefix="0" xfId="1">
      <alignment horizontal="center" vertical="center" readingOrder="1"/>
    </xf>
    <xf numFmtId="0" fontId="14" fillId="0" borderId="9" applyAlignment="1" pivotButton="0" quotePrefix="0" xfId="1">
      <alignment horizontal="center" vertical="center"/>
    </xf>
    <xf numFmtId="3" fontId="14" fillId="0" borderId="6" applyAlignment="1" pivotButton="0" quotePrefix="0" xfId="1">
      <alignment horizontal="center" vertical="center"/>
    </xf>
    <xf numFmtId="0" fontId="21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right" vertical="center"/>
    </xf>
    <xf numFmtId="0" fontId="20" fillId="0" borderId="0" applyAlignment="1" pivotButton="0" quotePrefix="0" xfId="0">
      <alignment horizontal="right" vertical="center"/>
    </xf>
    <xf numFmtId="0" fontId="0" fillId="0" borderId="5" pivotButton="0" quotePrefix="0" xfId="0"/>
    <xf numFmtId="0" fontId="0" fillId="0" borderId="6" pivotButton="0" quotePrefix="0" xfId="0"/>
    <xf numFmtId="0" fontId="0" fillId="0" borderId="9" pivotButton="0" quotePrefix="0" xfId="0"/>
    <xf numFmtId="0" fontId="18" fillId="0" borderId="1" applyAlignment="1" pivotButton="0" quotePrefix="0" xfId="1">
      <alignment horizontal="right" vertical="center"/>
    </xf>
    <xf numFmtId="3" fontId="14" fillId="0" borderId="1" applyAlignment="1" pivotButton="0" quotePrefix="0" xfId="1">
      <alignment horizontal="center" vertical="center"/>
    </xf>
    <xf numFmtId="0" fontId="14" fillId="0" borderId="16" applyAlignment="1" pivotButton="0" quotePrefix="0" xfId="1">
      <alignment horizontal="right" vertical="center"/>
    </xf>
    <xf numFmtId="0" fontId="0" fillId="0" borderId="17" pivotButton="0" quotePrefix="0" xfId="0"/>
    <xf numFmtId="0" fontId="0" fillId="0" borderId="14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18" fillId="0" borderId="1" applyAlignment="1" pivotButton="0" quotePrefix="0" xfId="1">
      <alignment horizontal="center" vertical="center"/>
    </xf>
  </cellXfs>
  <cellStyles count="3">
    <cellStyle name="Normal" xfId="0" builtinId="0"/>
    <cellStyle name="Normal 3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3">
    <outlinePr summaryBelow="1" summaryRight="1"/>
    <pageSetUpPr/>
  </sheetPr>
  <dimension ref="A1:I21"/>
  <sheetViews>
    <sheetView rightToLeft="1" workbookViewId="0">
      <selection activeCell="A6" sqref="A6"/>
    </sheetView>
  </sheetViews>
  <sheetFormatPr baseColWidth="8" defaultRowHeight="14.35"/>
  <cols>
    <col width="20.41015625" customWidth="1" style="12" min="1" max="1"/>
  </cols>
  <sheetData>
    <row r="1">
      <c r="A1" s="7" t="inlineStr">
        <is>
          <t>شرح کالا</t>
        </is>
      </c>
    </row>
    <row r="2">
      <c r="A2" s="10" t="inlineStr">
        <is>
          <t>مانیتور 15 اینچ سامسونگ</t>
        </is>
      </c>
      <c r="I2" s="21" t="n">
        <v>1</v>
      </c>
    </row>
    <row r="3">
      <c r="A3" s="11" t="inlineStr">
        <is>
          <t>کیس گرین 580</t>
        </is>
      </c>
    </row>
    <row r="4">
      <c r="A4" s="10" t="inlineStr">
        <is>
          <t>مانیتور 15 اینچ سامسونگ</t>
        </is>
      </c>
    </row>
    <row r="5">
      <c r="A5" s="12" t="inlineStr">
        <is>
          <t>ماشین لباسشویی</t>
        </is>
      </c>
    </row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K4"/>
  <sheetViews>
    <sheetView rightToLeft="1" workbookViewId="0">
      <selection activeCell="C19" sqref="C19"/>
    </sheetView>
  </sheetViews>
  <sheetFormatPr baseColWidth="8" defaultRowHeight="14.35"/>
  <cols>
    <col width="20.41015625" customWidth="1" style="12" min="1" max="1"/>
    <col width="38.5859375" customWidth="1" min="2" max="2"/>
    <col width="16" customWidth="1" min="3" max="3"/>
    <col width="21.41015625" customWidth="1" min="4" max="4"/>
    <col width="14.703125" customWidth="1" min="5" max="6"/>
    <col width="15" customWidth="1" min="7" max="7"/>
  </cols>
  <sheetData>
    <row r="1">
      <c r="A1" s="13" t="inlineStr">
        <is>
          <t xml:space="preserve">نام </t>
        </is>
      </c>
      <c r="B1" s="7" t="inlineStr">
        <is>
          <t>آدرس</t>
        </is>
      </c>
      <c r="C1" s="7" t="inlineStr">
        <is>
          <t>کد اقتصادی</t>
        </is>
      </c>
      <c r="D1" s="7" t="inlineStr">
        <is>
          <t>شماره ثبت / کد ملی</t>
        </is>
      </c>
      <c r="E1" s="7" t="inlineStr">
        <is>
          <t>کد پستی</t>
        </is>
      </c>
      <c r="F1" s="7" t="inlineStr">
        <is>
          <t>شماره تلفن</t>
        </is>
      </c>
      <c r="G1" s="14" t="inlineStr">
        <is>
          <t xml:space="preserve">شماره فکس </t>
        </is>
      </c>
    </row>
    <row r="2">
      <c r="A2" s="15" t="inlineStr">
        <is>
          <t>آفیس باز</t>
        </is>
      </c>
      <c r="B2" s="10" t="inlineStr">
        <is>
          <t xml:space="preserve">شهرری شهرک علائین </t>
        </is>
      </c>
      <c r="C2" s="8" t="n">
        <v>650</v>
      </c>
      <c r="D2" s="8" t="n">
        <v>502</v>
      </c>
      <c r="E2" s="8" t="n">
        <v>1873754436</v>
      </c>
      <c r="F2" s="8" t="n">
        <v>9122279351</v>
      </c>
      <c r="G2" s="16" t="n">
        <v>9122279351</v>
      </c>
      <c r="K2" s="21" t="inlineStr">
        <is>
          <t>عدد</t>
        </is>
      </c>
    </row>
    <row r="3">
      <c r="A3" s="17" t="inlineStr">
        <is>
          <t>نادر بحری</t>
        </is>
      </c>
      <c r="B3" s="11" t="inlineStr">
        <is>
          <t xml:space="preserve">تهران </t>
        </is>
      </c>
      <c r="C3" s="9" t="n"/>
      <c r="D3" s="9" t="n"/>
      <c r="E3" s="9" t="n"/>
      <c r="F3" s="9" t="n"/>
      <c r="G3" s="18" t="n"/>
      <c r="K3" s="21" t="inlineStr">
        <is>
          <t>متر</t>
        </is>
      </c>
    </row>
    <row r="4">
      <c r="A4" s="12" t="inlineStr">
        <is>
          <t>فرهاد بحری</t>
        </is>
      </c>
      <c r="F4" t="n">
        <v>912222154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B1:O41"/>
  <sheetViews>
    <sheetView showGridLines="0" showZeros="0" rightToLeft="1" tabSelected="1" zoomScale="85" zoomScaleNormal="85" zoomScaleSheetLayoutView="96" workbookViewId="0">
      <selection activeCell="D42" sqref="D42"/>
    </sheetView>
  </sheetViews>
  <sheetFormatPr baseColWidth="8" defaultColWidth="9.1171875" defaultRowHeight="13.7"/>
  <cols>
    <col width="2" customWidth="1" style="1" min="1" max="1"/>
    <col width="6" customWidth="1" style="1" min="2" max="2"/>
    <col width="13.5859375" customWidth="1" style="1" min="3" max="3"/>
    <col width="12.703125" customWidth="1" style="1" min="4" max="4"/>
    <col width="13.5859375" customWidth="1" style="1" min="5" max="5"/>
    <col width="8.1171875" customWidth="1" style="1" min="6" max="6"/>
    <col width="9.1171875" customWidth="1" style="1" min="7" max="7"/>
    <col width="12.87890625" customWidth="1" style="1" min="8" max="8"/>
    <col width="14.41015625" customWidth="1" style="1" min="9" max="9"/>
    <col width="3.29296875" customWidth="1" style="1" min="10" max="10"/>
    <col width="13.87890625" customWidth="1" style="1" min="11" max="12"/>
    <col width="9.1171875" customWidth="1" style="1" min="13" max="16384"/>
  </cols>
  <sheetData>
    <row r="1" ht="30" customHeight="1">
      <c r="H1" s="64" t="inlineStr">
        <is>
          <t>تاریخ:</t>
        </is>
      </c>
      <c r="I1" s="65">
        <f>LEFT(shamsi(),4)&amp;"-"&amp;LEFT(RIGHT(shamsi(),4),2)&amp;"-"&amp;RIGHT(shamsi(),2)</f>
        <v/>
      </c>
      <c r="K1" s="57" t="inlineStr">
        <is>
          <t>واحد پول:</t>
        </is>
      </c>
      <c r="L1" s="57" t="inlineStr">
        <is>
          <t>تومان</t>
        </is>
      </c>
      <c r="M1" s="58" t="inlineStr">
        <is>
          <t>شروع فاکتورها:</t>
        </is>
      </c>
      <c r="N1" s="59" t="n"/>
      <c r="O1" s="60" t="n">
        <v>250</v>
      </c>
    </row>
    <row r="2" ht="30" customFormat="1" customHeight="1" s="2">
      <c r="F2" s="4" t="n"/>
      <c r="H2" s="64" t="inlineStr">
        <is>
          <t>شماره:</t>
        </is>
      </c>
      <c r="I2" s="65" t="n">
        <v>250</v>
      </c>
      <c r="K2" s="52" t="n"/>
      <c r="L2" s="52" t="n"/>
      <c r="M2" s="52" t="n"/>
      <c r="N2" s="52" t="n"/>
      <c r="O2" s="52" t="n"/>
    </row>
    <row r="3" ht="17" customFormat="1" customHeight="1" s="2">
      <c r="B3" s="36" t="inlineStr">
        <is>
          <t>نام شخص/شرکت:</t>
        </is>
      </c>
      <c r="D3" s="64" t="inlineStr">
        <is>
          <t>Sheida Home</t>
        </is>
      </c>
      <c r="H3" s="36" t="inlineStr">
        <is>
          <t>کد اقتصادی:</t>
        </is>
      </c>
      <c r="I3" s="2">
        <f>IFERROR(VLOOKUP($D$3,Contact!$A$2:$G$334,3,0),"")</f>
        <v/>
      </c>
      <c r="J3" s="3" t="n"/>
      <c r="K3" s="53" t="n"/>
      <c r="L3" s="52" t="n"/>
      <c r="M3" s="52" t="n"/>
      <c r="N3" s="52" t="n"/>
      <c r="O3" s="52" t="n"/>
    </row>
    <row r="4" ht="6.75" customFormat="1" customHeight="1" s="2">
      <c r="B4" s="56" t="n"/>
      <c r="K4" s="52" t="n"/>
      <c r="L4" s="52" t="n"/>
      <c r="M4" s="52" t="n"/>
      <c r="N4" s="52" t="n"/>
      <c r="O4" s="52" t="n"/>
    </row>
    <row r="5" ht="15" customFormat="1" customHeight="1" s="2">
      <c r="B5" s="37" t="inlineStr">
        <is>
          <t>شماره ثبت / کد ملی:</t>
        </is>
      </c>
      <c r="D5" s="65">
        <f>IFERROR(VLOOKUP($D$3,Contact!$A$2:$G$334,4,0),"")</f>
        <v/>
      </c>
      <c r="H5" s="36" t="inlineStr">
        <is>
          <t>تلفن/موبایل:</t>
        </is>
      </c>
      <c r="I5" s="2">
        <f>IFERROR(VLOOKUP($D$3,Contact!$A$2:$G$334,6,0),"")</f>
        <v/>
      </c>
      <c r="J5" s="3" t="n"/>
      <c r="K5" s="53" t="n"/>
      <c r="L5" s="52" t="n"/>
      <c r="M5" s="52" t="n"/>
      <c r="N5" s="52" t="n"/>
      <c r="O5" s="52" t="n"/>
    </row>
    <row r="6" ht="6.75" customFormat="1" customHeight="1" s="2">
      <c r="H6" s="37" t="n"/>
      <c r="K6" s="52" t="n"/>
      <c r="L6" s="52" t="n"/>
      <c r="M6" s="52" t="n"/>
      <c r="N6" s="52" t="n"/>
      <c r="O6" s="52" t="n"/>
    </row>
    <row r="7" ht="14.7" customFormat="1" customHeight="1" s="2">
      <c r="B7" s="37" t="inlineStr">
        <is>
          <t>آدرس:</t>
        </is>
      </c>
      <c r="C7" s="67">
        <f>IFERROR(VLOOKUP($D$3,Contact!$A$2:$G$334,2,0),"")</f>
        <v/>
      </c>
      <c r="H7" s="36" t="inlineStr">
        <is>
          <t>کد پستی:</t>
        </is>
      </c>
      <c r="I7" s="2">
        <f>IFERROR(VLOOKUP($D$3,Contact!$A$2:$G$334,5,0),"")</f>
        <v/>
      </c>
      <c r="K7" s="52" t="n"/>
      <c r="L7" s="52" t="n"/>
      <c r="M7" s="52" t="n"/>
      <c r="N7" s="52" t="n"/>
      <c r="O7" s="52" t="n"/>
    </row>
    <row r="8">
      <c r="K8" s="54" t="n"/>
      <c r="L8" s="54" t="n"/>
      <c r="M8" s="54" t="n"/>
      <c r="N8" s="54" t="n"/>
      <c r="O8" s="54" t="n"/>
    </row>
    <row r="9" ht="18.75" customFormat="1" customHeight="1" s="2">
      <c r="F9" s="4" t="n"/>
      <c r="K9" s="52" t="n"/>
      <c r="L9" s="52" t="n"/>
      <c r="M9" s="52" t="n"/>
      <c r="N9" s="52" t="n"/>
      <c r="O9" s="52" t="n"/>
    </row>
    <row r="10" ht="17" customFormat="1" customHeight="1" s="2">
      <c r="B10" s="36" t="inlineStr">
        <is>
          <t>نام شخص/شرکت:</t>
        </is>
      </c>
      <c r="D10" s="64" t="inlineStr">
        <is>
          <t>..</t>
        </is>
      </c>
      <c r="H10" s="36" t="inlineStr">
        <is>
          <t>کد اقتصادی:</t>
        </is>
      </c>
      <c r="I10" s="2">
        <f>IFERROR(VLOOKUP($D$10,Contact!$A$2:$G$334,3,0),"")</f>
        <v/>
      </c>
      <c r="J10" s="3" t="n"/>
      <c r="K10" s="53" t="n"/>
      <c r="L10" s="52" t="n"/>
      <c r="M10" s="52" t="n"/>
      <c r="N10" s="52" t="n"/>
      <c r="O10" s="52" t="n"/>
    </row>
    <row r="11" ht="6.75" customFormat="1" customHeight="1" s="2">
      <c r="B11" s="37" t="n"/>
      <c r="H11" s="37" t="n"/>
      <c r="K11" s="52" t="n"/>
      <c r="L11" s="52" t="n"/>
      <c r="M11" s="52" t="n"/>
      <c r="N11" s="52" t="n"/>
      <c r="O11" s="52" t="n"/>
    </row>
    <row r="12" ht="15" customFormat="1" customHeight="1" s="2">
      <c r="B12" s="37" t="inlineStr">
        <is>
          <t>شماره ثبت / کد ملی:</t>
        </is>
      </c>
      <c r="D12" s="65">
        <f>IFERROR(VLOOKUP($D$10,Contact!$A$2:$G$334,4,0),"")</f>
        <v/>
      </c>
      <c r="H12" s="36" t="inlineStr">
        <is>
          <t>تلفن/موبایل:</t>
        </is>
      </c>
      <c r="I12" s="2" t="n"/>
      <c r="J12" s="3" t="n"/>
      <c r="K12" s="53" t="n"/>
      <c r="L12" s="52" t="n"/>
      <c r="M12" s="52" t="n"/>
      <c r="N12" s="52" t="n"/>
      <c r="O12" s="52" t="n"/>
    </row>
    <row r="13" ht="6.75" customFormat="1" customHeight="1" s="2">
      <c r="B13" s="37" t="n"/>
      <c r="H13" s="37" t="n"/>
      <c r="K13" s="52" t="n"/>
      <c r="L13" s="52" t="n"/>
      <c r="M13" s="52" t="n"/>
      <c r="N13" s="52" t="n"/>
      <c r="O13" s="52" t="n"/>
    </row>
    <row r="14" ht="14.7" customFormat="1" customHeight="1" s="2">
      <c r="B14" s="36" t="inlineStr">
        <is>
          <t>آدرس:</t>
        </is>
      </c>
      <c r="C14" s="67" t="n"/>
      <c r="H14" s="36" t="inlineStr">
        <is>
          <t>کد پستی:</t>
        </is>
      </c>
      <c r="I14" s="2">
        <f>IFERROR(VLOOKUP($D$10,Contact!$A$2:$G$334,5,0),"")</f>
        <v/>
      </c>
      <c r="K14" s="52" t="n"/>
      <c r="L14" s="52" t="n"/>
      <c r="M14" s="52" t="n"/>
      <c r="N14" s="52" t="n"/>
      <c r="O14" s="52" t="n"/>
    </row>
    <row r="15">
      <c r="K15" s="54" t="n"/>
      <c r="L15" s="54" t="n"/>
      <c r="M15" s="54" t="n"/>
      <c r="N15" s="54" t="n"/>
      <c r="O15" s="54" t="n"/>
    </row>
    <row r="16" ht="4.5" customHeight="1">
      <c r="K16" s="54" t="n"/>
      <c r="L16" s="54" t="n"/>
      <c r="M16" s="54" t="n"/>
      <c r="N16" s="54" t="n"/>
      <c r="O16" s="54" t="n"/>
    </row>
    <row r="17" ht="21" customHeight="1">
      <c r="B17" s="66" t="inlineStr">
        <is>
          <t>ردیف</t>
        </is>
      </c>
      <c r="C17" s="66" t="inlineStr">
        <is>
          <t>شرح کالا</t>
        </is>
      </c>
      <c r="D17" s="114" t="n"/>
      <c r="E17" s="115" t="n"/>
      <c r="F17" s="66" t="inlineStr">
        <is>
          <t>تعداد</t>
        </is>
      </c>
      <c r="G17" s="66" t="inlineStr">
        <is>
          <t>سنجش</t>
        </is>
      </c>
      <c r="H17" s="66" t="inlineStr">
        <is>
          <t>قیمت واحد</t>
        </is>
      </c>
      <c r="I17" s="66" t="inlineStr">
        <is>
          <t>قیمت کل</t>
        </is>
      </c>
      <c r="J17" s="6" t="n"/>
      <c r="K17" s="61" t="inlineStr">
        <is>
          <t>* برای تغییر لوگو کافیست روی آن کلیک کنید*</t>
        </is>
      </c>
    </row>
    <row r="18" ht="18.75" customHeight="1">
      <c r="B18" s="29">
        <f>IF(C18&gt;0,ROWS($C$18:C18),"")</f>
        <v/>
      </c>
      <c r="C18" s="30" t="inlineStr">
        <is>
          <t xml:space="preserve"> ست فریگور</t>
        </is>
      </c>
      <c r="D18" s="31" t="n"/>
      <c r="E18" s="32" t="n"/>
      <c r="F18" s="29" t="n">
        <v>2</v>
      </c>
      <c r="G18" s="29" t="n"/>
      <c r="H18" s="29" t="n">
        <v>1700000</v>
      </c>
      <c r="I18" s="33" t="n">
        <v>3400000</v>
      </c>
      <c r="J18" s="5" t="n"/>
    </row>
    <row r="19" ht="18.75" customHeight="1">
      <c r="B19" s="29">
        <f>IF(C19&gt;0,ROWS($C$18:C19),"")</f>
        <v/>
      </c>
      <c r="C19" s="30" t="n"/>
      <c r="D19" s="31" t="n"/>
      <c r="E19" s="32" t="n"/>
      <c r="F19" s="29" t="n"/>
      <c r="G19" s="29" t="n"/>
      <c r="H19" s="29" t="n"/>
      <c r="I19" s="33">
        <f>H19*F19</f>
        <v/>
      </c>
      <c r="J19" s="5" t="n"/>
      <c r="K19" s="55" t="n"/>
      <c r="L19" s="54" t="n"/>
      <c r="M19" s="54" t="n"/>
      <c r="N19" s="54" t="n"/>
      <c r="O19" s="54" t="n"/>
    </row>
    <row r="20" ht="18.75" customHeight="1">
      <c r="B20" s="29">
        <f>IF(C20&gt;0,ROWS($C$18:C20),"")</f>
        <v/>
      </c>
      <c r="C20" s="30" t="n"/>
      <c r="D20" s="31" t="n"/>
      <c r="E20" s="32" t="n"/>
      <c r="F20" s="29" t="n"/>
      <c r="G20" s="29" t="n"/>
      <c r="H20" s="29" t="n"/>
      <c r="I20" s="33">
        <f>H20*F20</f>
        <v/>
      </c>
      <c r="J20" s="5" t="n"/>
      <c r="K20" s="61" t="inlineStr">
        <is>
          <t xml:space="preserve">تا کنون تعداد  -1   فاکتور با اين نرم افزار صادر کرده ايد </t>
        </is>
      </c>
    </row>
    <row r="21" ht="18.75" customHeight="1">
      <c r="B21" s="29">
        <f>IF(C21&gt;0,ROWS($C$18:C21),"")</f>
        <v/>
      </c>
      <c r="C21" s="30" t="n"/>
      <c r="D21" s="31" t="n"/>
      <c r="E21" s="32" t="n"/>
      <c r="F21" s="29" t="n"/>
      <c r="G21" s="29" t="n"/>
      <c r="H21" s="29" t="n"/>
      <c r="I21" s="33">
        <f>H21*F21</f>
        <v/>
      </c>
      <c r="J21" s="5" t="n"/>
    </row>
    <row r="22" ht="18.75" customHeight="1">
      <c r="B22" s="29">
        <f>IF(C22&gt;0,ROWS($C$18:C22),"")</f>
        <v/>
      </c>
      <c r="C22" s="30" t="n"/>
      <c r="D22" s="31" t="n"/>
      <c r="E22" s="32" t="n"/>
      <c r="F22" s="29" t="n"/>
      <c r="G22" s="29" t="n"/>
      <c r="H22" s="29" t="n"/>
      <c r="I22" s="33">
        <f>H22*F22</f>
        <v/>
      </c>
      <c r="J22" s="5" t="n"/>
    </row>
    <row r="23" ht="18.75" customHeight="1">
      <c r="B23" s="29">
        <f>IF(C23&gt;0,ROWS($C$18:C23),"")</f>
        <v/>
      </c>
      <c r="C23" s="30" t="n"/>
      <c r="D23" s="31" t="n"/>
      <c r="E23" s="32" t="n"/>
      <c r="F23" s="29" t="n"/>
      <c r="G23" s="29" t="n"/>
      <c r="H23" s="29" t="n"/>
      <c r="I23" s="33">
        <f>H23*F23</f>
        <v/>
      </c>
      <c r="J23" s="5" t="n"/>
    </row>
    <row r="24" ht="18.75" customHeight="1">
      <c r="B24" s="29">
        <f>IF(C24&gt;0,ROWS($C$18:C24),"")</f>
        <v/>
      </c>
      <c r="C24" s="30" t="n"/>
      <c r="D24" s="31" t="n"/>
      <c r="E24" s="32" t="n"/>
      <c r="F24" s="29" t="n"/>
      <c r="G24" s="29" t="n"/>
      <c r="H24" s="29" t="n"/>
      <c r="I24" s="33">
        <f>H24*F24</f>
        <v/>
      </c>
      <c r="J24" s="5" t="n"/>
    </row>
    <row r="25" ht="18.75" customHeight="1">
      <c r="B25" s="29">
        <f>IF(C25&gt;0,ROWS($C$18:C25),"")</f>
        <v/>
      </c>
      <c r="C25" s="30" t="n"/>
      <c r="D25" s="31" t="n"/>
      <c r="E25" s="32" t="n"/>
      <c r="F25" s="29" t="n"/>
      <c r="G25" s="29" t="n"/>
      <c r="H25" s="29" t="n"/>
      <c r="I25" s="33">
        <f>H25*F25</f>
        <v/>
      </c>
      <c r="J25" s="5" t="n"/>
      <c r="K25" s="5" t="n"/>
    </row>
    <row r="26" ht="18.75" customHeight="1">
      <c r="B26" s="29">
        <f>IF(C26&gt;0,ROWS($C$18:C26),"")</f>
        <v/>
      </c>
      <c r="C26" s="30" t="n"/>
      <c r="D26" s="31" t="n"/>
      <c r="E26" s="32" t="n"/>
      <c r="F26" s="29" t="n"/>
      <c r="G26" s="29" t="n"/>
      <c r="H26" s="29" t="n"/>
      <c r="I26" s="33">
        <f>H26*F26</f>
        <v/>
      </c>
      <c r="J26" s="5" t="n"/>
      <c r="K26" s="5" t="n"/>
    </row>
    <row r="27" ht="18.75" customHeight="1">
      <c r="B27" s="29">
        <f>IF(C27&gt;0,ROWS($C$18:C27),"")</f>
        <v/>
      </c>
      <c r="C27" s="30" t="n"/>
      <c r="D27" s="31" t="n"/>
      <c r="E27" s="32" t="n"/>
      <c r="F27" s="29" t="n"/>
      <c r="G27" s="29" t="n"/>
      <c r="H27" s="29" t="n"/>
      <c r="I27" s="33">
        <f>H27*F27</f>
        <v/>
      </c>
      <c r="J27" s="5" t="n"/>
      <c r="K27" s="5" t="n"/>
    </row>
    <row r="28" ht="18.75" customHeight="1">
      <c r="B28" s="29">
        <f>IF(C28&gt;0,ROWS($C$18:C28),"")</f>
        <v/>
      </c>
      <c r="C28" s="30" t="n"/>
      <c r="D28" s="31" t="n"/>
      <c r="E28" s="32" t="n"/>
      <c r="F28" s="29" t="n"/>
      <c r="G28" s="29" t="n"/>
      <c r="H28" s="29" t="n"/>
      <c r="I28" s="33">
        <f>H28*F28</f>
        <v/>
      </c>
      <c r="J28" s="5" t="n"/>
      <c r="K28" s="5" t="n"/>
    </row>
    <row r="29" ht="18.75" customHeight="1">
      <c r="B29" s="29">
        <f>IF(C29&gt;0,ROWS($C$18:C29),"")</f>
        <v/>
      </c>
      <c r="C29" s="30" t="n"/>
      <c r="D29" s="31" t="n"/>
      <c r="E29" s="32" t="n"/>
      <c r="F29" s="29" t="n"/>
      <c r="G29" s="29" t="n"/>
      <c r="H29" s="29" t="n"/>
      <c r="I29" s="33">
        <f>H29*F29</f>
        <v/>
      </c>
      <c r="J29" s="5" t="n"/>
      <c r="K29" s="5" t="n"/>
    </row>
    <row r="30" ht="18.75" customHeight="1">
      <c r="B30" s="29">
        <f>IF(C30&gt;0,ROWS($C$18:C30),"")</f>
        <v/>
      </c>
      <c r="C30" s="30" t="n"/>
      <c r="D30" s="31" t="n"/>
      <c r="E30" s="32" t="n"/>
      <c r="F30" s="29" t="n"/>
      <c r="G30" s="29" t="n"/>
      <c r="H30" s="29" t="n"/>
      <c r="I30" s="33">
        <f>H30*F30</f>
        <v/>
      </c>
      <c r="J30" s="5" t="n"/>
      <c r="K30" s="5" t="n"/>
    </row>
    <row r="31" ht="18.75" customHeight="1">
      <c r="B31" s="29">
        <f>IF(C31&gt;0,ROWS($C$18:C31),"")</f>
        <v/>
      </c>
      <c r="C31" s="30" t="n"/>
      <c r="D31" s="31" t="n"/>
      <c r="E31" s="32" t="n"/>
      <c r="F31" s="29" t="n"/>
      <c r="G31" s="29" t="n"/>
      <c r="H31" s="29" t="n"/>
      <c r="I31" s="33">
        <f>H31*F31</f>
        <v/>
      </c>
      <c r="J31" s="5" t="n"/>
      <c r="K31" s="5" t="n"/>
    </row>
    <row r="32" ht="18.75" customHeight="1">
      <c r="B32" s="29">
        <f>IF(C32&gt;0,ROWS($C$18:C32),"")</f>
        <v/>
      </c>
      <c r="C32" s="30" t="n"/>
      <c r="D32" s="31" t="n"/>
      <c r="E32" s="32" t="n"/>
      <c r="F32" s="29" t="n"/>
      <c r="G32" s="29" t="n"/>
      <c r="H32" s="29" t="n"/>
      <c r="I32" s="33">
        <f>H32*F32</f>
        <v/>
      </c>
      <c r="J32" s="5" t="n"/>
      <c r="K32" s="5" t="n"/>
    </row>
    <row r="33" ht="18.75" customHeight="1">
      <c r="B33" s="29">
        <f>IF(C33&gt;0,ROWS($C$18:C33),"")</f>
        <v/>
      </c>
      <c r="C33" s="30" t="n"/>
      <c r="D33" s="31" t="n"/>
      <c r="E33" s="32" t="n"/>
      <c r="F33" s="29" t="n"/>
      <c r="G33" s="29" t="n"/>
      <c r="H33" s="29" t="n"/>
      <c r="I33" s="33">
        <f>H33*F33</f>
        <v/>
      </c>
      <c r="J33" s="5" t="n"/>
      <c r="K33" s="5" t="n"/>
    </row>
    <row r="34" ht="18.75" customHeight="1">
      <c r="B34" s="29">
        <f>IF(C34&gt;0,ROWS($C$18:C34),"")</f>
        <v/>
      </c>
      <c r="C34" s="30" t="n"/>
      <c r="D34" s="31" t="n"/>
      <c r="E34" s="32" t="n"/>
      <c r="F34" s="29" t="n"/>
      <c r="G34" s="29" t="n"/>
      <c r="H34" s="29" t="n"/>
      <c r="I34" s="33">
        <f>H34*F34</f>
        <v/>
      </c>
      <c r="J34" s="5" t="n"/>
      <c r="K34" s="5" t="n"/>
    </row>
    <row r="35" ht="18.75" customHeight="1">
      <c r="B35" s="29">
        <f>IF(C35&gt;0,ROWS($C$18:C35),"")</f>
        <v/>
      </c>
      <c r="C35" s="30" t="n"/>
      <c r="D35" s="31" t="n"/>
      <c r="E35" s="32" t="n"/>
      <c r="F35" s="29" t="n"/>
      <c r="G35" s="29" t="n"/>
      <c r="H35" s="29" t="n"/>
      <c r="I35" s="33" t="n"/>
      <c r="J35" s="5" t="n"/>
      <c r="K35" s="5" t="n"/>
    </row>
    <row r="36" ht="18.75" customHeight="1">
      <c r="B36" s="29">
        <f>IF(C36&gt;0,ROWS($C$18:C36),"")</f>
        <v/>
      </c>
      <c r="C36" s="30" t="n"/>
      <c r="D36" s="31" t="n"/>
      <c r="E36" s="32" t="n"/>
      <c r="F36" s="29" t="n"/>
      <c r="G36" s="29" t="n"/>
      <c r="H36" s="29" t="n"/>
      <c r="I36" s="33">
        <f>H36*F36</f>
        <v/>
      </c>
      <c r="J36" s="5" t="n"/>
      <c r="K36" s="5" t="n"/>
    </row>
    <row r="37" ht="18.75" customHeight="1">
      <c r="B37" s="29">
        <f>IF(C37&gt;0,ROWS($C$18:C37),"")</f>
        <v/>
      </c>
      <c r="C37" s="30" t="n"/>
      <c r="D37" s="31" t="n"/>
      <c r="E37" s="32" t="n"/>
      <c r="F37" s="29" t="n"/>
      <c r="G37" s="29" t="n"/>
      <c r="H37" s="29" t="n"/>
      <c r="I37" s="33">
        <f>H37*F37</f>
        <v/>
      </c>
      <c r="J37" s="5" t="n"/>
      <c r="K37" s="5" t="n"/>
    </row>
    <row r="38" ht="18.75" customHeight="1">
      <c r="B38" s="2" t="n"/>
      <c r="C38" s="24" t="n"/>
      <c r="D38" s="25" t="n"/>
      <c r="E38" s="34" t="n">
        <v>9</v>
      </c>
      <c r="F38" s="2" t="n"/>
      <c r="G38" s="2" t="n"/>
      <c r="H38" s="26" t="inlineStr">
        <is>
          <t>جمع کل:</t>
        </is>
      </c>
      <c r="I38" s="27" t="n">
        <v>3400000</v>
      </c>
    </row>
    <row r="39" ht="18.75" customFormat="1" customHeight="1" s="2">
      <c r="B39" s="2" t="inlineStr">
        <is>
          <t>نحوه پرداخت:</t>
        </is>
      </c>
      <c r="D39" s="2" t="inlineStr">
        <is>
          <t xml:space="preserve">نقدی </t>
        </is>
      </c>
      <c r="G39" s="28" t="n"/>
      <c r="H39" s="26" t="inlineStr">
        <is>
          <t>جمع مالیات:</t>
        </is>
      </c>
      <c r="I39" s="27">
        <f>(I38*E38)/100</f>
        <v/>
      </c>
    </row>
    <row r="40" ht="18.75" customHeight="1">
      <c r="B40" s="19" t="inlineStr">
        <is>
          <t>مبلغ به حروف:</t>
        </is>
      </c>
      <c r="C40" s="20" t="n"/>
      <c r="D40" s="63">
        <f>abh(I41)&amp;" " &amp;L1</f>
        <v/>
      </c>
      <c r="G40" s="116" t="n"/>
      <c r="H40" s="26" t="inlineStr">
        <is>
          <t>جمع تخفیف:</t>
        </is>
      </c>
      <c r="I40" s="27" t="n"/>
    </row>
    <row r="41" ht="18.75" customHeight="1">
      <c r="B41" s="20" t="n"/>
      <c r="C41" s="20" t="n"/>
      <c r="G41" s="116" t="n"/>
      <c r="H41" s="26" t="inlineStr">
        <is>
          <t>قابل پرداخت:</t>
        </is>
      </c>
      <c r="I41" s="27" t="n">
        <v>3400000</v>
      </c>
    </row>
    <row r="53" ht="18.35" customFormat="1" customHeight="1" s="5"/>
  </sheetData>
  <mergeCells count="10">
    <mergeCell ref="C7:G7"/>
    <mergeCell ref="D40:G41"/>
    <mergeCell ref="K17:O18"/>
    <mergeCell ref="D10:E10"/>
    <mergeCell ref="K20:O22"/>
    <mergeCell ref="D5:E5"/>
    <mergeCell ref="C17:E17"/>
    <mergeCell ref="C14:G14"/>
    <mergeCell ref="D3:E3"/>
    <mergeCell ref="D12:E12"/>
  </mergeCells>
  <dataValidations count="3">
    <dataValidation sqref="G20:G37" showDropDown="0" showInputMessage="1" showErrorMessage="1" allowBlank="1" type="list">
      <formula1>"عدد,متر,کیلو"</formula1>
    </dataValidation>
    <dataValidation sqref="D39" showDropDown="0" showInputMessage="1" showErrorMessage="1" allowBlank="1" type="list">
      <formula1>"نقدی ,غیر نقدی"</formula1>
    </dataValidation>
    <dataValidation sqref="L1" showDropDown="0" showInputMessage="1" showErrorMessage="1" allowBlank="1" type="list">
      <formula1>"ریال,تومان"</formula1>
    </dataValidation>
  </dataValidations>
  <pageMargins left="0.18" right="0.19" top="0.17" bottom="0.1" header="0" footer="0.03"/>
  <pageSetup orientation="portrait" paperSize="9"/>
  <headerFooter>
    <oddHeader>&amp;C_x000a_</oddHeader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E31"/>
  <sheetViews>
    <sheetView showGridLines="0" showZeros="0" rightToLeft="1" zoomScale="85" zoomScaleNormal="85" workbookViewId="0">
      <selection activeCell="AJ10" sqref="AJ10"/>
    </sheetView>
  </sheetViews>
  <sheetFormatPr baseColWidth="8" defaultRowHeight="14.35"/>
  <cols>
    <col width="5.41015625" customWidth="1" min="1" max="1"/>
    <col width="11" customWidth="1" min="2" max="2"/>
    <col width="16.87890625" customWidth="1" min="4" max="4"/>
    <col width="2.703125" customWidth="1" min="5" max="6"/>
    <col width="5.1171875" customWidth="1" min="7" max="8"/>
    <col width="3.1171875" customWidth="1" min="9" max="12"/>
    <col width="2.703125" customWidth="1" min="13" max="16"/>
    <col width="4.703125" customWidth="1" min="17" max="19"/>
    <col width="4" customWidth="1" min="20" max="22"/>
    <col width="3" customWidth="1" min="23" max="30"/>
  </cols>
  <sheetData>
    <row r="1" ht="26.25" customHeight="1">
      <c r="A1" s="39" t="n"/>
      <c r="B1" s="39" t="n"/>
      <c r="C1" s="39" t="n"/>
      <c r="D1" s="39" t="n"/>
      <c r="E1" s="105" t="inlineStr">
        <is>
          <t>صورتحساب فروش کالا و خدمات</t>
        </is>
      </c>
      <c r="Q1" s="102" t="n"/>
      <c r="T1" s="39" t="n"/>
      <c r="U1" s="39" t="n"/>
      <c r="V1" s="39" t="n"/>
      <c r="W1" s="109" t="inlineStr">
        <is>
          <t>شماره سریال :</t>
        </is>
      </c>
      <c r="Z1" s="116" t="n"/>
      <c r="AA1" s="101">
        <f>Invoice!$I$2</f>
        <v/>
      </c>
      <c r="AB1" s="114" t="n"/>
      <c r="AC1" s="115" t="n"/>
      <c r="AD1" s="39" t="n"/>
      <c r="AE1" s="38" t="n"/>
    </row>
    <row r="2" ht="12.75" customHeight="1">
      <c r="A2" s="39" t="n"/>
      <c r="B2" s="39" t="n"/>
      <c r="C2" s="39" t="n"/>
      <c r="D2" s="39" t="n"/>
      <c r="Q2" s="40" t="n"/>
      <c r="R2" s="40" t="n"/>
      <c r="S2" s="41" t="n"/>
      <c r="T2" s="41" t="n"/>
      <c r="U2" s="41" t="n"/>
      <c r="V2" s="41" t="n"/>
      <c r="W2" s="41" t="n"/>
      <c r="X2" s="41" t="n"/>
      <c r="Y2" s="41" t="n"/>
      <c r="Z2" s="41" t="n"/>
      <c r="AA2" s="41" t="n"/>
      <c r="AB2" s="41" t="n"/>
      <c r="AC2" s="41" t="n"/>
      <c r="AD2" s="41" t="n"/>
      <c r="AE2" s="38" t="n"/>
    </row>
    <row r="3" ht="26.25" customHeight="1">
      <c r="A3" s="39" t="n"/>
      <c r="B3" s="39" t="n"/>
      <c r="C3" s="39" t="n"/>
      <c r="D3" s="39" t="n"/>
      <c r="Q3" s="102" t="n"/>
      <c r="T3" s="42" t="n"/>
      <c r="U3" s="39" t="n"/>
      <c r="V3" s="39" t="n"/>
      <c r="W3" s="39" t="n"/>
      <c r="X3" s="102" t="inlineStr">
        <is>
          <t>تاریخ :</t>
        </is>
      </c>
      <c r="AA3" s="101">
        <f>Invoice!$I$1</f>
        <v/>
      </c>
      <c r="AB3" s="114" t="n"/>
      <c r="AC3" s="115" t="n"/>
      <c r="AD3" s="39" t="n"/>
      <c r="AE3" s="38" t="n"/>
    </row>
    <row r="4" ht="22.5" customHeight="1">
      <c r="A4" s="103" t="inlineStr">
        <is>
          <t>مشخصات فروشنده</t>
        </is>
      </c>
      <c r="B4" s="114" t="n"/>
      <c r="C4" s="114" t="n"/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5" t="n"/>
      <c r="AE4" s="43" t="n"/>
    </row>
    <row r="5" ht="22.5" customHeight="1">
      <c r="A5" s="77">
        <f>"  نام حقيقي / حقوقي : " &amp; " " &amp;Invoice!$D$3</f>
        <v/>
      </c>
      <c r="B5" s="114" t="n"/>
      <c r="C5" s="114" t="n"/>
      <c r="D5" s="115" t="n"/>
      <c r="E5" s="77">
        <f>"شماره اقتصادی : "&amp;" "&amp;Invoice!I3</f>
        <v/>
      </c>
      <c r="F5" s="114" t="n"/>
      <c r="G5" s="114" t="n"/>
      <c r="H5" s="114" t="n"/>
      <c r="I5" s="114" t="n"/>
      <c r="J5" s="114" t="n"/>
      <c r="K5" s="114" t="n"/>
      <c r="L5" s="114" t="n"/>
      <c r="M5" s="114" t="n"/>
      <c r="N5" s="114" t="n"/>
      <c r="O5" s="114" t="n"/>
      <c r="P5" s="115" t="n"/>
      <c r="Q5" s="77">
        <f>"شماره ثبت/شماره ملی :  "&amp;Invoice!D5</f>
        <v/>
      </c>
      <c r="R5" s="114" t="n"/>
      <c r="S5" s="114" t="n"/>
      <c r="T5" s="114" t="n"/>
      <c r="U5" s="114" t="n"/>
      <c r="V5" s="114" t="n"/>
      <c r="W5" s="114" t="n"/>
      <c r="X5" s="114" t="n"/>
      <c r="Y5" s="114" t="n"/>
      <c r="Z5" s="114" t="n"/>
      <c r="AA5" s="114" t="n"/>
      <c r="AB5" s="114" t="n"/>
      <c r="AC5" s="114" t="n"/>
      <c r="AD5" s="115" t="n"/>
      <c r="AE5" s="38" t="n"/>
    </row>
    <row r="6" ht="22.5" customHeight="1">
      <c r="A6" s="77">
        <f>"نشانی: "&amp;Invoice!C7</f>
        <v/>
      </c>
      <c r="B6" s="114" t="n"/>
      <c r="C6" s="114" t="n"/>
      <c r="D6" s="115" t="n"/>
      <c r="E6" s="77">
        <f>"کد پستی : " &amp; " " &amp;Invoice!$I$7</f>
        <v/>
      </c>
      <c r="F6" s="114" t="n"/>
      <c r="G6" s="114" t="n"/>
      <c r="H6" s="114" t="n"/>
      <c r="I6" s="114" t="n"/>
      <c r="J6" s="114" t="n"/>
      <c r="K6" s="114" t="n"/>
      <c r="L6" s="114" t="n"/>
      <c r="M6" s="114" t="n"/>
      <c r="N6" s="114" t="n"/>
      <c r="O6" s="114" t="n"/>
      <c r="P6" s="115" t="n"/>
      <c r="Q6" s="77">
        <f>" شماره تلفن / نمابر:" &amp; " " &amp;Invoice!I5</f>
        <v/>
      </c>
      <c r="R6" s="114" t="n"/>
      <c r="S6" s="114" t="n"/>
      <c r="T6" s="114" t="n"/>
      <c r="U6" s="114" t="n"/>
      <c r="V6" s="114" t="n"/>
      <c r="W6" s="114" t="n"/>
      <c r="X6" s="114" t="n"/>
      <c r="Y6" s="114" t="n"/>
      <c r="Z6" s="114" t="n"/>
      <c r="AA6" s="114" t="n"/>
      <c r="AB6" s="114" t="n"/>
      <c r="AC6" s="114" t="n"/>
      <c r="AD6" s="115" t="n"/>
      <c r="AE6" s="38" t="n"/>
    </row>
    <row r="7" ht="22.5" customHeight="1">
      <c r="A7" s="103" t="inlineStr">
        <is>
          <t>مشخصات خريدار</t>
        </is>
      </c>
      <c r="B7" s="114" t="n"/>
      <c r="C7" s="114" t="n"/>
      <c r="D7" s="114" t="n"/>
      <c r="E7" s="114" t="n"/>
      <c r="F7" s="114" t="n"/>
      <c r="G7" s="114" t="n"/>
      <c r="H7" s="114" t="n"/>
      <c r="I7" s="114" t="n"/>
      <c r="J7" s="114" t="n"/>
      <c r="K7" s="114" t="n"/>
      <c r="L7" s="114" t="n"/>
      <c r="M7" s="114" t="n"/>
      <c r="N7" s="114" t="n"/>
      <c r="O7" s="114" t="n"/>
      <c r="P7" s="114" t="n"/>
      <c r="Q7" s="114" t="n"/>
      <c r="R7" s="114" t="n"/>
      <c r="S7" s="114" t="n"/>
      <c r="T7" s="114" t="n"/>
      <c r="U7" s="114" t="n"/>
      <c r="V7" s="114" t="n"/>
      <c r="W7" s="114" t="n"/>
      <c r="X7" s="114" t="n"/>
      <c r="Y7" s="114" t="n"/>
      <c r="Z7" s="114" t="n"/>
      <c r="AA7" s="114" t="n"/>
      <c r="AB7" s="114" t="n"/>
      <c r="AC7" s="114" t="n"/>
      <c r="AD7" s="115" t="n"/>
      <c r="AE7" s="38" t="n"/>
    </row>
    <row r="8" ht="22.5" customHeight="1">
      <c r="A8" s="77">
        <f>" نام حقيقي / حقوقي :" &amp; " " &amp;Invoice!$D$10</f>
        <v/>
      </c>
      <c r="B8" s="114" t="n"/>
      <c r="C8" s="114" t="n"/>
      <c r="D8" s="115" t="n"/>
      <c r="E8" s="77">
        <f>"شماره اقتصادی : "&amp; " " &amp;Invoice!I10</f>
        <v/>
      </c>
      <c r="F8" s="114" t="n"/>
      <c r="G8" s="114" t="n"/>
      <c r="H8" s="114" t="n"/>
      <c r="I8" s="114" t="n"/>
      <c r="J8" s="114" t="n"/>
      <c r="K8" s="114" t="n"/>
      <c r="L8" s="114" t="n"/>
      <c r="M8" s="114" t="n"/>
      <c r="N8" s="114" t="n"/>
      <c r="O8" s="114" t="n"/>
      <c r="P8" s="115" t="n"/>
      <c r="Q8" s="77">
        <f>"شماره ثبت/شماره ملی :  "&amp;Invoice!D12</f>
        <v/>
      </c>
      <c r="R8" s="114" t="n"/>
      <c r="S8" s="114" t="n"/>
      <c r="T8" s="114" t="n"/>
      <c r="U8" s="114" t="n"/>
      <c r="V8" s="114" t="n"/>
      <c r="W8" s="114" t="n"/>
      <c r="X8" s="114" t="n"/>
      <c r="Y8" s="114" t="n"/>
      <c r="Z8" s="114" t="n"/>
      <c r="AA8" s="114" t="n"/>
      <c r="AB8" s="114" t="n"/>
      <c r="AC8" s="114" t="n"/>
      <c r="AD8" s="115" t="n"/>
      <c r="AE8" s="38" t="n"/>
    </row>
    <row r="9" ht="22.5" customHeight="1">
      <c r="A9" s="77">
        <f>"نشانی: "&amp;Invoice!C14</f>
        <v/>
      </c>
      <c r="B9" s="114" t="n"/>
      <c r="C9" s="114" t="n"/>
      <c r="D9" s="114" t="n"/>
      <c r="E9" s="114" t="n"/>
      <c r="F9" s="114" t="n"/>
      <c r="G9" s="114" t="n"/>
      <c r="H9" s="114" t="n"/>
      <c r="I9" s="114" t="n"/>
      <c r="J9" s="114" t="n"/>
      <c r="K9" s="114" t="n"/>
      <c r="L9" s="114" t="n"/>
      <c r="M9" s="114" t="n"/>
      <c r="N9" s="114" t="n"/>
      <c r="O9" s="114" t="n"/>
      <c r="P9" s="115" t="n"/>
      <c r="Q9" s="77">
        <f>" شماره تلفن / نمابر:  "&amp;Invoice!I12</f>
        <v/>
      </c>
      <c r="R9" s="114" t="n"/>
      <c r="S9" s="114" t="n"/>
      <c r="T9" s="114" t="n"/>
      <c r="U9" s="114" t="n"/>
      <c r="V9" s="114" t="n"/>
      <c r="W9" s="114" t="n"/>
      <c r="X9" s="114" t="n"/>
      <c r="Y9" s="114" t="n"/>
      <c r="Z9" s="114" t="n"/>
      <c r="AA9" s="114" t="n"/>
      <c r="AB9" s="114" t="n"/>
      <c r="AC9" s="114" t="n"/>
      <c r="AD9" s="115" t="n"/>
      <c r="AE9" s="38" t="n"/>
    </row>
    <row r="10" ht="22.5" customHeight="1">
      <c r="A10" s="103" t="inlineStr">
        <is>
          <t>مشخصات كالا يا خدمات مورد معامله</t>
        </is>
      </c>
      <c r="B10" s="114" t="n"/>
      <c r="C10" s="114" t="n"/>
      <c r="D10" s="114" t="n"/>
      <c r="E10" s="114" t="n"/>
      <c r="F10" s="114" t="n"/>
      <c r="G10" s="114" t="n"/>
      <c r="H10" s="114" t="n"/>
      <c r="I10" s="114" t="n"/>
      <c r="J10" s="114" t="n"/>
      <c r="K10" s="114" t="n"/>
      <c r="L10" s="114" t="n"/>
      <c r="M10" s="114" t="n"/>
      <c r="N10" s="114" t="n"/>
      <c r="O10" s="114" t="n"/>
      <c r="P10" s="114" t="n"/>
      <c r="Q10" s="114" t="n"/>
      <c r="R10" s="114" t="n"/>
      <c r="S10" s="114" t="n"/>
      <c r="T10" s="114" t="n"/>
      <c r="U10" s="114" t="n"/>
      <c r="V10" s="114" t="n"/>
      <c r="W10" s="114" t="n"/>
      <c r="X10" s="114" t="n"/>
      <c r="Y10" s="114" t="n"/>
      <c r="Z10" s="114" t="n"/>
      <c r="AA10" s="114" t="n"/>
      <c r="AB10" s="114" t="n"/>
      <c r="AC10" s="114" t="n"/>
      <c r="AD10" s="115" t="n"/>
      <c r="AE10" s="38" t="n"/>
    </row>
    <row r="11" ht="42.75" customHeight="1">
      <c r="A11" s="44" t="inlineStr">
        <is>
          <t>رديف</t>
        </is>
      </c>
      <c r="B11" s="101" t="inlineStr">
        <is>
          <t>شرح كالا يا خدمات</t>
        </is>
      </c>
      <c r="C11" s="114" t="n"/>
      <c r="D11" s="115" t="n"/>
      <c r="E11" s="104" t="inlineStr">
        <is>
          <t>تعداد</t>
        </is>
      </c>
      <c r="F11" s="115" t="n"/>
      <c r="G11" s="104" t="inlineStr">
        <is>
          <t xml:space="preserve">مبلغ واحد </t>
        </is>
      </c>
      <c r="H11" s="115" t="n"/>
      <c r="I11" s="104" t="inlineStr">
        <is>
          <t xml:space="preserve">مبلغ كل </t>
        </is>
      </c>
      <c r="J11" s="114" t="n"/>
      <c r="K11" s="114" t="n"/>
      <c r="L11" s="115" t="n"/>
      <c r="M11" s="76" t="inlineStr">
        <is>
          <t>مبلغ تخفيف</t>
        </is>
      </c>
      <c r="N11" s="114" t="n"/>
      <c r="O11" s="114" t="n"/>
      <c r="P11" s="115" t="n"/>
      <c r="Q11" s="104" t="inlineStr">
        <is>
          <t>مبلغ كل پس از تخفيف</t>
        </is>
      </c>
      <c r="R11" s="114" t="n"/>
      <c r="S11" s="115" t="n"/>
      <c r="T11" s="104" t="inlineStr">
        <is>
          <t>جمع ماليات وعوارض</t>
        </is>
      </c>
      <c r="U11" s="114" t="n"/>
      <c r="V11" s="115" t="n"/>
      <c r="W11" s="104" t="inlineStr">
        <is>
          <t xml:space="preserve">جمع مبلغ كل بعلاوه جمع ماليات و عوارض </t>
        </is>
      </c>
      <c r="X11" s="114" t="n"/>
      <c r="Y11" s="114" t="n"/>
      <c r="Z11" s="114" t="n"/>
      <c r="AA11" s="114" t="n"/>
      <c r="AB11" s="114" t="n"/>
      <c r="AC11" s="114" t="n"/>
      <c r="AD11" s="115" t="n"/>
      <c r="AE11" s="38" t="n"/>
    </row>
    <row r="12" ht="21.75" customHeight="1">
      <c r="A12" s="71" t="n">
        <v>1</v>
      </c>
      <c r="B12" s="117">
        <f>Invoice!C18</f>
        <v/>
      </c>
      <c r="C12" s="114" t="n"/>
      <c r="D12" s="115" t="n"/>
      <c r="E12" s="98">
        <f>Invoice!F18</f>
        <v/>
      </c>
      <c r="F12" s="115" t="n"/>
      <c r="G12" s="71">
        <f>Invoice!H18</f>
        <v/>
      </c>
      <c r="H12" s="114" t="n"/>
      <c r="I12" s="98">
        <f>E12*G12</f>
        <v/>
      </c>
      <c r="J12" s="114" t="n"/>
      <c r="K12" s="114" t="n"/>
      <c r="L12" s="115" t="n"/>
      <c r="M12" s="98" t="n">
        <v>0</v>
      </c>
      <c r="N12" s="114" t="n"/>
      <c r="O12" s="114" t="n"/>
      <c r="P12" s="115" t="n"/>
      <c r="Q12" s="71">
        <f>I12-M12</f>
        <v/>
      </c>
      <c r="R12" s="114" t="n"/>
      <c r="S12" s="114" t="n"/>
      <c r="T12" s="71">
        <f>Q12*Invoice!$E$38/100</f>
        <v/>
      </c>
      <c r="U12" s="114" t="n"/>
      <c r="V12" s="114" t="n"/>
      <c r="W12" s="98">
        <f>Q12+T12</f>
        <v/>
      </c>
      <c r="X12" s="114" t="n"/>
      <c r="Y12" s="114" t="n"/>
      <c r="Z12" s="114" t="n"/>
      <c r="AA12" s="114" t="n"/>
      <c r="AB12" s="114" t="n"/>
      <c r="AC12" s="114" t="n"/>
      <c r="AD12" s="115" t="n"/>
      <c r="AE12" s="46" t="n"/>
    </row>
    <row r="13" ht="21.75" customHeight="1">
      <c r="A13" s="71" t="n">
        <v>2</v>
      </c>
      <c r="B13" s="117">
        <f>Invoice!C19</f>
        <v/>
      </c>
      <c r="C13" s="114" t="n"/>
      <c r="D13" s="115" t="n"/>
      <c r="E13" s="98">
        <f>Invoice!F19</f>
        <v/>
      </c>
      <c r="F13" s="115" t="n"/>
      <c r="G13" s="71">
        <f>Invoice!H19</f>
        <v/>
      </c>
      <c r="H13" s="114" t="n"/>
      <c r="I13" s="98">
        <f>E13*G13</f>
        <v/>
      </c>
      <c r="J13" s="114" t="n"/>
      <c r="K13" s="114" t="n"/>
      <c r="L13" s="115" t="n"/>
      <c r="M13" s="98" t="n">
        <v>0</v>
      </c>
      <c r="N13" s="114" t="n"/>
      <c r="O13" s="114" t="n"/>
      <c r="P13" s="115" t="n"/>
      <c r="Q13" s="71">
        <f>I13-M13</f>
        <v/>
      </c>
      <c r="R13" s="114" t="n"/>
      <c r="S13" s="114" t="n"/>
      <c r="T13" s="71">
        <f>Q13*Invoice!$E$38/100</f>
        <v/>
      </c>
      <c r="U13" s="114" t="n"/>
      <c r="V13" s="114" t="n"/>
      <c r="W13" s="98">
        <f>Q13+T13</f>
        <v/>
      </c>
      <c r="X13" s="114" t="n"/>
      <c r="Y13" s="114" t="n"/>
      <c r="Z13" s="114" t="n"/>
      <c r="AA13" s="114" t="n"/>
      <c r="AB13" s="114" t="n"/>
      <c r="AC13" s="114" t="n"/>
      <c r="AD13" s="115" t="n"/>
      <c r="AE13" s="46" t="n"/>
    </row>
    <row r="14" ht="21.75" customHeight="1">
      <c r="A14" s="71" t="n">
        <v>3</v>
      </c>
      <c r="B14" s="117">
        <f>Invoice!C20</f>
        <v/>
      </c>
      <c r="C14" s="114" t="n"/>
      <c r="D14" s="115" t="n"/>
      <c r="E14" s="98">
        <f>Invoice!F20</f>
        <v/>
      </c>
      <c r="F14" s="115" t="n"/>
      <c r="G14" s="71">
        <f>Invoice!H20</f>
        <v/>
      </c>
      <c r="H14" s="114" t="n"/>
      <c r="I14" s="98">
        <f>E14*G14</f>
        <v/>
      </c>
      <c r="J14" s="114" t="n"/>
      <c r="K14" s="114" t="n"/>
      <c r="L14" s="115" t="n"/>
      <c r="M14" s="98" t="n">
        <v>0</v>
      </c>
      <c r="N14" s="114" t="n"/>
      <c r="O14" s="114" t="n"/>
      <c r="P14" s="115" t="n"/>
      <c r="Q14" s="71">
        <f>I14-M14</f>
        <v/>
      </c>
      <c r="R14" s="114" t="n"/>
      <c r="S14" s="114" t="n"/>
      <c r="T14" s="71">
        <f>Q14*Invoice!$E$38/100</f>
        <v/>
      </c>
      <c r="U14" s="114" t="n"/>
      <c r="V14" s="114" t="n"/>
      <c r="W14" s="98">
        <f>Q14+T14</f>
        <v/>
      </c>
      <c r="X14" s="114" t="n"/>
      <c r="Y14" s="114" t="n"/>
      <c r="Z14" s="114" t="n"/>
      <c r="AA14" s="114" t="n"/>
      <c r="AB14" s="114" t="n"/>
      <c r="AC14" s="114" t="n"/>
      <c r="AD14" s="115" t="n"/>
      <c r="AE14" s="46" t="n"/>
    </row>
    <row r="15" ht="21.75" customHeight="1">
      <c r="A15" s="71" t="n">
        <v>4</v>
      </c>
      <c r="B15" s="117">
        <f>Invoice!C21</f>
        <v/>
      </c>
      <c r="C15" s="114" t="n"/>
      <c r="D15" s="115" t="n"/>
      <c r="E15" s="98">
        <f>Invoice!F21</f>
        <v/>
      </c>
      <c r="F15" s="115" t="n"/>
      <c r="G15" s="71">
        <f>Invoice!H21</f>
        <v/>
      </c>
      <c r="H15" s="114" t="n"/>
      <c r="I15" s="98">
        <f>E15*G15</f>
        <v/>
      </c>
      <c r="J15" s="114" t="n"/>
      <c r="K15" s="114" t="n"/>
      <c r="L15" s="115" t="n"/>
      <c r="M15" s="98" t="n">
        <v>0</v>
      </c>
      <c r="N15" s="114" t="n"/>
      <c r="O15" s="114" t="n"/>
      <c r="P15" s="115" t="n"/>
      <c r="Q15" s="71">
        <f>I15-M15</f>
        <v/>
      </c>
      <c r="R15" s="114" t="n"/>
      <c r="S15" s="114" t="n"/>
      <c r="T15" s="71">
        <f>Q15*Invoice!$E$38/100</f>
        <v/>
      </c>
      <c r="U15" s="114" t="n"/>
      <c r="V15" s="114" t="n"/>
      <c r="W15" s="98">
        <f>Q15+T15</f>
        <v/>
      </c>
      <c r="X15" s="114" t="n"/>
      <c r="Y15" s="114" t="n"/>
      <c r="Z15" s="114" t="n"/>
      <c r="AA15" s="114" t="n"/>
      <c r="AB15" s="114" t="n"/>
      <c r="AC15" s="114" t="n"/>
      <c r="AD15" s="115" t="n"/>
    </row>
    <row r="16" ht="21.75" customHeight="1">
      <c r="A16" s="71" t="n">
        <v>5</v>
      </c>
      <c r="B16" s="117">
        <f>Invoice!C22</f>
        <v/>
      </c>
      <c r="C16" s="114" t="n"/>
      <c r="D16" s="115" t="n"/>
      <c r="E16" s="98">
        <f>Invoice!F22</f>
        <v/>
      </c>
      <c r="F16" s="115" t="n"/>
      <c r="G16" s="71">
        <f>Invoice!H22</f>
        <v/>
      </c>
      <c r="H16" s="114" t="n"/>
      <c r="I16" s="98">
        <f>E16*G16</f>
        <v/>
      </c>
      <c r="J16" s="114" t="n"/>
      <c r="K16" s="114" t="n"/>
      <c r="L16" s="115" t="n"/>
      <c r="M16" s="98" t="n">
        <v>0</v>
      </c>
      <c r="N16" s="114" t="n"/>
      <c r="O16" s="114" t="n"/>
      <c r="P16" s="115" t="n"/>
      <c r="Q16" s="71">
        <f>I16-M16</f>
        <v/>
      </c>
      <c r="R16" s="114" t="n"/>
      <c r="S16" s="114" t="n"/>
      <c r="T16" s="71">
        <f>Q16*Invoice!$E$38/100</f>
        <v/>
      </c>
      <c r="U16" s="114" t="n"/>
      <c r="V16" s="114" t="n"/>
      <c r="W16" s="98">
        <f>Q16+T16</f>
        <v/>
      </c>
      <c r="X16" s="114" t="n"/>
      <c r="Y16" s="114" t="n"/>
      <c r="Z16" s="114" t="n"/>
      <c r="AA16" s="114" t="n"/>
      <c r="AB16" s="114" t="n"/>
      <c r="AC16" s="114" t="n"/>
      <c r="AD16" s="115" t="n"/>
    </row>
    <row r="17" ht="21.75" customHeight="1">
      <c r="A17" s="71" t="n">
        <v>6</v>
      </c>
      <c r="B17" s="117">
        <f>Invoice!C23</f>
        <v/>
      </c>
      <c r="C17" s="114" t="n"/>
      <c r="D17" s="115" t="n"/>
      <c r="E17" s="98">
        <f>Invoice!F23</f>
        <v/>
      </c>
      <c r="F17" s="115" t="n"/>
      <c r="G17" s="71">
        <f>Invoice!H23</f>
        <v/>
      </c>
      <c r="H17" s="114" t="n"/>
      <c r="I17" s="98">
        <f>E17*G17</f>
        <v/>
      </c>
      <c r="J17" s="114" t="n"/>
      <c r="K17" s="114" t="n"/>
      <c r="L17" s="115" t="n"/>
      <c r="M17" s="98" t="n">
        <v>0</v>
      </c>
      <c r="N17" s="114" t="n"/>
      <c r="O17" s="114" t="n"/>
      <c r="P17" s="115" t="n"/>
      <c r="Q17" s="71">
        <f>I17-M17</f>
        <v/>
      </c>
      <c r="R17" s="114" t="n"/>
      <c r="S17" s="114" t="n"/>
      <c r="T17" s="71">
        <f>Q17*Invoice!$E$38/100</f>
        <v/>
      </c>
      <c r="U17" s="114" t="n"/>
      <c r="V17" s="114" t="n"/>
      <c r="W17" s="98">
        <f>Q17+T17</f>
        <v/>
      </c>
      <c r="X17" s="114" t="n"/>
      <c r="Y17" s="114" t="n"/>
      <c r="Z17" s="114" t="n"/>
      <c r="AA17" s="114" t="n"/>
      <c r="AB17" s="114" t="n"/>
      <c r="AC17" s="114" t="n"/>
      <c r="AD17" s="115" t="n"/>
    </row>
    <row r="18" ht="21.75" customHeight="1">
      <c r="A18" s="71" t="n">
        <v>7</v>
      </c>
      <c r="B18" s="117">
        <f>Invoice!C24</f>
        <v/>
      </c>
      <c r="C18" s="114" t="n"/>
      <c r="D18" s="115" t="n"/>
      <c r="E18" s="98">
        <f>Invoice!F24</f>
        <v/>
      </c>
      <c r="F18" s="115" t="n"/>
      <c r="G18" s="71">
        <f>Invoice!H24</f>
        <v/>
      </c>
      <c r="H18" s="114" t="n"/>
      <c r="I18" s="98">
        <f>E18*G18</f>
        <v/>
      </c>
      <c r="J18" s="114" t="n"/>
      <c r="K18" s="114" t="n"/>
      <c r="L18" s="115" t="n"/>
      <c r="M18" s="98" t="n">
        <v>0</v>
      </c>
      <c r="N18" s="114" t="n"/>
      <c r="O18" s="114" t="n"/>
      <c r="P18" s="115" t="n"/>
      <c r="Q18" s="71">
        <f>I18-M18</f>
        <v/>
      </c>
      <c r="R18" s="114" t="n"/>
      <c r="S18" s="114" t="n"/>
      <c r="T18" s="71">
        <f>Q18*Invoice!$E$38/100</f>
        <v/>
      </c>
      <c r="U18" s="114" t="n"/>
      <c r="V18" s="114" t="n"/>
      <c r="W18" s="98">
        <f>Q18+T18</f>
        <v/>
      </c>
      <c r="X18" s="114" t="n"/>
      <c r="Y18" s="114" t="n"/>
      <c r="Z18" s="114" t="n"/>
      <c r="AA18" s="114" t="n"/>
      <c r="AB18" s="114" t="n"/>
      <c r="AC18" s="114" t="n"/>
      <c r="AD18" s="115" t="n"/>
    </row>
    <row r="19" ht="21.75" customHeight="1">
      <c r="A19" s="71" t="n">
        <v>8</v>
      </c>
      <c r="B19" s="117">
        <f>Invoice!C25</f>
        <v/>
      </c>
      <c r="C19" s="114" t="n"/>
      <c r="D19" s="115" t="n"/>
      <c r="E19" s="98">
        <f>Invoice!F25</f>
        <v/>
      </c>
      <c r="F19" s="115" t="n"/>
      <c r="G19" s="71">
        <f>Invoice!H25</f>
        <v/>
      </c>
      <c r="H19" s="114" t="n"/>
      <c r="I19" s="98">
        <f>E19*G19</f>
        <v/>
      </c>
      <c r="J19" s="114" t="n"/>
      <c r="K19" s="114" t="n"/>
      <c r="L19" s="115" t="n"/>
      <c r="M19" s="98" t="n">
        <v>0</v>
      </c>
      <c r="N19" s="114" t="n"/>
      <c r="O19" s="114" t="n"/>
      <c r="P19" s="115" t="n"/>
      <c r="Q19" s="71">
        <f>I19-M19</f>
        <v/>
      </c>
      <c r="R19" s="114" t="n"/>
      <c r="S19" s="114" t="n"/>
      <c r="T19" s="71">
        <f>Q19*Invoice!$E$38/100</f>
        <v/>
      </c>
      <c r="U19" s="114" t="n"/>
      <c r="V19" s="114" t="n"/>
      <c r="W19" s="98">
        <f>Q19+T19</f>
        <v/>
      </c>
      <c r="X19" s="114" t="n"/>
      <c r="Y19" s="114" t="n"/>
      <c r="Z19" s="114" t="n"/>
      <c r="AA19" s="114" t="n"/>
      <c r="AB19" s="114" t="n"/>
      <c r="AC19" s="114" t="n"/>
      <c r="AD19" s="115" t="n"/>
    </row>
    <row r="20" ht="21.75" customHeight="1">
      <c r="A20" s="71" t="n">
        <v>9</v>
      </c>
      <c r="B20" s="117">
        <f>Invoice!C26</f>
        <v/>
      </c>
      <c r="C20" s="114" t="n"/>
      <c r="D20" s="115" t="n"/>
      <c r="E20" s="98">
        <f>Invoice!F26</f>
        <v/>
      </c>
      <c r="F20" s="115" t="n"/>
      <c r="G20" s="71">
        <f>Invoice!H26</f>
        <v/>
      </c>
      <c r="H20" s="114" t="n"/>
      <c r="I20" s="98">
        <f>E20*G20</f>
        <v/>
      </c>
      <c r="J20" s="114" t="n"/>
      <c r="K20" s="114" t="n"/>
      <c r="L20" s="115" t="n"/>
      <c r="M20" s="98" t="n">
        <v>0</v>
      </c>
      <c r="N20" s="114" t="n"/>
      <c r="O20" s="114" t="n"/>
      <c r="P20" s="115" t="n"/>
      <c r="Q20" s="71">
        <f>I20-M20</f>
        <v/>
      </c>
      <c r="R20" s="114" t="n"/>
      <c r="S20" s="114" t="n"/>
      <c r="T20" s="71">
        <f>Q20*Invoice!$E$38/100</f>
        <v/>
      </c>
      <c r="U20" s="114" t="n"/>
      <c r="V20" s="114" t="n"/>
      <c r="W20" s="98">
        <f>Q20+T20</f>
        <v/>
      </c>
      <c r="X20" s="114" t="n"/>
      <c r="Y20" s="114" t="n"/>
      <c r="Z20" s="114" t="n"/>
      <c r="AA20" s="114" t="n"/>
      <c r="AB20" s="114" t="n"/>
      <c r="AC20" s="114" t="n"/>
      <c r="AD20" s="115" t="n"/>
    </row>
    <row r="21" ht="20.25" customHeight="1">
      <c r="A21" s="104" t="inlineStr">
        <is>
          <t>جمع کل</t>
        </is>
      </c>
      <c r="B21" s="114" t="n"/>
      <c r="C21" s="114" t="n"/>
      <c r="D21" s="114" t="n"/>
      <c r="E21" s="114" t="n"/>
      <c r="F21" s="114" t="n"/>
      <c r="G21" s="114" t="n"/>
      <c r="H21" s="115" t="n"/>
      <c r="I21" s="118">
        <f>SUM(I12:L20)</f>
        <v/>
      </c>
      <c r="J21" s="114" t="n"/>
      <c r="K21" s="114" t="n"/>
      <c r="L21" s="115" t="n"/>
      <c r="M21" s="101" t="n"/>
      <c r="N21" s="114" t="n"/>
      <c r="O21" s="114" t="n"/>
      <c r="P21" s="115" t="n"/>
      <c r="Q21" s="99">
        <f>SUM(Q12:S20)</f>
        <v/>
      </c>
      <c r="R21" s="114" t="n"/>
      <c r="S21" s="114" t="n"/>
      <c r="T21" s="99">
        <f>SUM(T12:V20)</f>
        <v/>
      </c>
      <c r="U21" s="114" t="n"/>
      <c r="V21" s="114" t="n"/>
      <c r="W21" s="94">
        <f>SUM(W12:AD20)</f>
        <v/>
      </c>
      <c r="X21" s="114" t="n"/>
      <c r="Y21" s="114" t="n"/>
      <c r="Z21" s="114" t="n"/>
      <c r="AA21" s="114" t="n"/>
      <c r="AB21" s="114" t="n"/>
      <c r="AC21" s="114" t="n"/>
      <c r="AD21" s="115" t="n"/>
    </row>
    <row r="22" ht="27" customHeight="1">
      <c r="A22" s="48" t="inlineStr">
        <is>
          <t xml:space="preserve">شرايط و نحوه فروش :            </t>
        </is>
      </c>
      <c r="B22" s="49" t="n"/>
      <c r="C22" s="49" t="n"/>
      <c r="D22" s="49">
        <f>Invoice!D39</f>
        <v/>
      </c>
      <c r="E22" s="119">
        <f>Invoice!D40</f>
        <v/>
      </c>
      <c r="F22" s="120" t="n"/>
      <c r="G22" s="120" t="n"/>
      <c r="H22" s="120" t="n"/>
      <c r="I22" s="120" t="n"/>
      <c r="J22" s="120" t="n"/>
      <c r="K22" s="120" t="n"/>
      <c r="L22" s="120" t="n"/>
      <c r="M22" s="120" t="n"/>
      <c r="N22" s="120" t="n"/>
      <c r="O22" s="120" t="n"/>
      <c r="P22" s="120" t="n"/>
      <c r="Q22" s="120" t="n"/>
      <c r="R22" s="120" t="n"/>
      <c r="S22" s="120" t="n"/>
      <c r="T22" s="120" t="n"/>
      <c r="U22" s="120" t="n"/>
      <c r="V22" s="120" t="n"/>
      <c r="W22" s="120" t="n"/>
      <c r="X22" s="120" t="n"/>
      <c r="Y22" s="120" t="n"/>
      <c r="Z22" s="120" t="n"/>
      <c r="AA22" s="120" t="n"/>
      <c r="AB22" s="120" t="n"/>
      <c r="AC22" s="120" t="n"/>
      <c r="AD22" s="121" t="n"/>
    </row>
    <row r="23" ht="27" customHeight="1">
      <c r="A23" s="89" t="inlineStr">
        <is>
          <t>توضيحات : ..........................................................................................................................................................................</t>
        </is>
      </c>
      <c r="B23" s="114" t="n"/>
      <c r="C23" s="114" t="n"/>
      <c r="D23" s="114" t="n"/>
      <c r="E23" s="122" t="n"/>
      <c r="F23" s="123" t="n"/>
      <c r="G23" s="123" t="n"/>
      <c r="H23" s="123" t="n"/>
      <c r="I23" s="123" t="n"/>
      <c r="J23" s="123" t="n"/>
      <c r="K23" s="123" t="n"/>
      <c r="L23" s="123" t="n"/>
      <c r="M23" s="123" t="n"/>
      <c r="N23" s="123" t="n"/>
      <c r="O23" s="123" t="n"/>
      <c r="P23" s="123" t="n"/>
      <c r="Q23" s="123" t="n"/>
      <c r="R23" s="123" t="n"/>
      <c r="S23" s="123" t="n"/>
      <c r="T23" s="123" t="n"/>
      <c r="U23" s="123" t="n"/>
      <c r="V23" s="123" t="n"/>
      <c r="W23" s="123" t="n"/>
      <c r="X23" s="123" t="n"/>
      <c r="Y23" s="123" t="n"/>
      <c r="Z23" s="123" t="n"/>
      <c r="AA23" s="123" t="n"/>
      <c r="AB23" s="123" t="n"/>
      <c r="AC23" s="123" t="n"/>
      <c r="AD23" s="124" t="n"/>
    </row>
    <row r="24" ht="27" customHeight="1">
      <c r="A24" s="81" t="inlineStr">
        <is>
          <t xml:space="preserve">مهر و امضاء فروشنده                                                                                   </t>
        </is>
      </c>
      <c r="B24" s="114" t="n"/>
      <c r="C24" s="114" t="n"/>
      <c r="D24" s="114" t="n"/>
      <c r="E24" s="125" t="inlineStr">
        <is>
          <t>مهر و امضاء خريدار</t>
        </is>
      </c>
      <c r="F24" s="114" t="n"/>
      <c r="G24" s="114" t="n"/>
      <c r="H24" s="114" t="n"/>
      <c r="I24" s="114" t="n"/>
      <c r="J24" s="114" t="n"/>
      <c r="K24" s="114" t="n"/>
      <c r="L24" s="114" t="n"/>
      <c r="M24" s="114" t="n"/>
      <c r="N24" s="114" t="n"/>
      <c r="O24" s="114" t="n"/>
      <c r="P24" s="114" t="n"/>
      <c r="Q24" s="114" t="n"/>
      <c r="R24" s="114" t="n"/>
      <c r="S24" s="114" t="n"/>
      <c r="T24" s="114" t="n"/>
      <c r="U24" s="114" t="n"/>
      <c r="V24" s="114" t="n"/>
      <c r="W24" s="114" t="n"/>
      <c r="X24" s="114" t="n"/>
      <c r="Y24" s="114" t="n"/>
      <c r="Z24" s="114" t="n"/>
      <c r="AA24" s="114" t="n"/>
      <c r="AB24" s="114" t="n"/>
      <c r="AC24" s="114" t="n"/>
      <c r="AD24" s="115" t="n"/>
    </row>
    <row r="3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47" t="n"/>
      <c r="X31" s="38" t="n"/>
      <c r="Y31" s="38" t="n"/>
      <c r="Z31" s="38" t="n"/>
      <c r="AA31" s="38" t="n"/>
      <c r="AB31" s="38" t="n"/>
      <c r="AC31" s="38" t="n"/>
      <c r="AD31" s="38" t="n"/>
    </row>
  </sheetData>
  <mergeCells count="111">
    <mergeCell ref="B11:D11"/>
    <mergeCell ref="Q14:S14"/>
    <mergeCell ref="I14:L14"/>
    <mergeCell ref="A5:D5"/>
    <mergeCell ref="E1:P3"/>
    <mergeCell ref="X3:Z3"/>
    <mergeCell ref="M14:P14"/>
    <mergeCell ref="Q15:S15"/>
    <mergeCell ref="A9:P9"/>
    <mergeCell ref="W20:AD20"/>
    <mergeCell ref="A24:D24"/>
    <mergeCell ref="G18:H18"/>
    <mergeCell ref="B20:D20"/>
    <mergeCell ref="W12:AD12"/>
    <mergeCell ref="I16:L16"/>
    <mergeCell ref="A10:AD10"/>
    <mergeCell ref="E22:AD23"/>
    <mergeCell ref="W1:Z1"/>
    <mergeCell ref="T20:V20"/>
    <mergeCell ref="AA1:AC1"/>
    <mergeCell ref="T14:V14"/>
    <mergeCell ref="G20:H20"/>
    <mergeCell ref="I18:L18"/>
    <mergeCell ref="M16:P16"/>
    <mergeCell ref="M18:P18"/>
    <mergeCell ref="E12:F12"/>
    <mergeCell ref="G12:H12"/>
    <mergeCell ref="Q19:S19"/>
    <mergeCell ref="M17:P17"/>
    <mergeCell ref="B17:D17"/>
    <mergeCell ref="I20:L20"/>
    <mergeCell ref="E14:F14"/>
    <mergeCell ref="E24:AD24"/>
    <mergeCell ref="M19:P19"/>
    <mergeCell ref="I13:L13"/>
    <mergeCell ref="E6:P6"/>
    <mergeCell ref="B19:D19"/>
    <mergeCell ref="T17:V17"/>
    <mergeCell ref="I15:L15"/>
    <mergeCell ref="Q5:AD5"/>
    <mergeCell ref="T19:V19"/>
    <mergeCell ref="A4:AD4"/>
    <mergeCell ref="Q13:S13"/>
    <mergeCell ref="Q6:AD6"/>
    <mergeCell ref="Q16:S16"/>
    <mergeCell ref="E16:F16"/>
    <mergeCell ref="G16:H16"/>
    <mergeCell ref="M13:P13"/>
    <mergeCell ref="Q18:S18"/>
    <mergeCell ref="M21:P21"/>
    <mergeCell ref="E8:P8"/>
    <mergeCell ref="W14:AD14"/>
    <mergeCell ref="E18:F18"/>
    <mergeCell ref="W13:AD13"/>
    <mergeCell ref="A8:D8"/>
    <mergeCell ref="I17:L17"/>
    <mergeCell ref="B14:D14"/>
    <mergeCell ref="G11:H11"/>
    <mergeCell ref="B13:D13"/>
    <mergeCell ref="T12:V12"/>
    <mergeCell ref="W15:AD15"/>
    <mergeCell ref="T21:V21"/>
    <mergeCell ref="I19:L19"/>
    <mergeCell ref="E20:F20"/>
    <mergeCell ref="Q8:AD8"/>
    <mergeCell ref="E13:F13"/>
    <mergeCell ref="T13:V13"/>
    <mergeCell ref="G13:H13"/>
    <mergeCell ref="Q17:S17"/>
    <mergeCell ref="AA3:AC3"/>
    <mergeCell ref="T16:V16"/>
    <mergeCell ref="I11:L11"/>
    <mergeCell ref="W16:AD16"/>
    <mergeCell ref="E15:F15"/>
    <mergeCell ref="G15:H15"/>
    <mergeCell ref="T18:V18"/>
    <mergeCell ref="M11:P11"/>
    <mergeCell ref="W18:AD18"/>
    <mergeCell ref="Q12:S12"/>
    <mergeCell ref="Q21:S21"/>
    <mergeCell ref="W17:AD17"/>
    <mergeCell ref="I21:L21"/>
    <mergeCell ref="W11:AD11"/>
    <mergeCell ref="M12:P12"/>
    <mergeCell ref="B12:D12"/>
    <mergeCell ref="W19:AD19"/>
    <mergeCell ref="A23:D23"/>
    <mergeCell ref="A7:AD7"/>
    <mergeCell ref="E17:F17"/>
    <mergeCell ref="Q1:S1"/>
    <mergeCell ref="G17:H17"/>
    <mergeCell ref="T11:V11"/>
    <mergeCell ref="E19:F19"/>
    <mergeCell ref="G19:H19"/>
    <mergeCell ref="B15:D15"/>
    <mergeCell ref="Q11:S11"/>
    <mergeCell ref="A21:H21"/>
    <mergeCell ref="A6:D6"/>
    <mergeCell ref="W21:AD21"/>
    <mergeCell ref="E11:F11"/>
    <mergeCell ref="M20:P20"/>
    <mergeCell ref="G14:H14"/>
    <mergeCell ref="T15:V15"/>
    <mergeCell ref="B16:D16"/>
    <mergeCell ref="Q9:AD9"/>
    <mergeCell ref="Q3:S3"/>
    <mergeCell ref="I12:L12"/>
    <mergeCell ref="E5:P5"/>
    <mergeCell ref="B18:D18"/>
    <mergeCell ref="M15:P15"/>
    <mergeCell ref="Q20:S20"/>
  </mergeCells>
  <pageMargins left="0.15" right="0.25" top="0.4" bottom="0.31" header="0.3" footer="0.18"/>
  <pageSetup orientation="landscape" paperSize="9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B1:K20"/>
  <sheetViews>
    <sheetView showGridLines="0" showZeros="0" rightToLeft="1" view="pageLayout" zoomScale="55" zoomScaleNormal="100" zoomScaleSheetLayoutView="85" zoomScalePageLayoutView="55" workbookViewId="0">
      <selection activeCell="D32" sqref="D32"/>
    </sheetView>
  </sheetViews>
  <sheetFormatPr baseColWidth="8" defaultColWidth="9.1171875" defaultRowHeight="13.7"/>
  <cols>
    <col width="1.41015625" customWidth="1" style="1" min="1" max="1"/>
    <col width="6" customWidth="1" style="1" min="2" max="2"/>
    <col width="13.5859375" customWidth="1" style="1" min="3" max="3"/>
    <col width="12.703125" customWidth="1" style="1" min="4" max="4"/>
    <col width="13.5859375" customWidth="1" style="1" min="5" max="5"/>
    <col width="8.1171875" customWidth="1" style="1" min="6" max="6"/>
    <col width="9.1171875" customWidth="1" style="1" min="7" max="7"/>
    <col width="12.87890625" customWidth="1" style="1" min="8" max="8"/>
    <col width="13.87890625" customWidth="1" style="1" min="9" max="9"/>
    <col width="3.29296875" customWidth="1" style="1" min="10" max="10"/>
    <col width="10.87890625" customWidth="1" style="1" min="11" max="11"/>
    <col width="9.1171875" customWidth="1" style="1" min="12" max="16384"/>
  </cols>
  <sheetData>
    <row r="1" ht="22.5" customHeight="1">
      <c r="D1" s="111" t="inlineStr">
        <is>
          <t>فاکتور فروش کالا / خدمات</t>
        </is>
      </c>
      <c r="H1" s="64" t="inlineStr">
        <is>
          <t>تاریخ:</t>
        </is>
      </c>
      <c r="I1" s="65">
        <f>Invoice!I1</f>
        <v/>
      </c>
    </row>
    <row r="2" ht="22.5" customFormat="1" customHeight="1" s="2">
      <c r="F2" s="4" t="n"/>
      <c r="H2" s="64" t="inlineStr">
        <is>
          <t>شماره:</t>
        </is>
      </c>
      <c r="I2" s="65" t="n">
        <v>3</v>
      </c>
    </row>
    <row r="3" ht="17" customFormat="1" customHeight="1" s="2">
      <c r="B3" s="50" t="inlineStr">
        <is>
          <t xml:space="preserve">      نام شخص/شرکت:</t>
        </is>
      </c>
      <c r="D3" s="112" t="n"/>
      <c r="F3" s="50" t="inlineStr">
        <is>
          <t>نام شخص/شرکت:</t>
        </is>
      </c>
      <c r="H3" s="36">
        <f>Invoice!$D$10</f>
        <v/>
      </c>
      <c r="I3" s="2">
        <f>IFERROR(VLOOKUP($D$3,Contact!$A$2:$G$334,3,0),"")</f>
        <v/>
      </c>
      <c r="J3" s="3" t="n"/>
      <c r="K3" s="3" t="n"/>
    </row>
    <row r="4" ht="6.75" customFormat="1" customHeight="1" s="2">
      <c r="B4" s="51" t="n"/>
    </row>
    <row r="5" ht="15" customFormat="1" customHeight="1" s="2">
      <c r="B5" s="50" t="inlineStr">
        <is>
          <t xml:space="preserve">      تلفن/موبایل:</t>
        </is>
      </c>
      <c r="D5" s="65">
        <f>Invoice!$I$5</f>
        <v/>
      </c>
      <c r="F5" s="50" t="inlineStr">
        <is>
          <t>تلفن/موبایل:</t>
        </is>
      </c>
      <c r="H5" s="2">
        <f>Invoice!$I$12</f>
        <v/>
      </c>
      <c r="I5" s="2">
        <f>IFERROR(VLOOKUP($D$3,Contact!$A$2:$G$334,6,0),"")</f>
        <v/>
      </c>
      <c r="J5" s="3" t="n"/>
      <c r="K5" s="3" t="n"/>
    </row>
    <row r="6" ht="6.75" customFormat="1" customHeight="1" s="2">
      <c r="B6" s="51" t="n"/>
      <c r="F6" s="51" t="n"/>
      <c r="H6" s="37" t="n"/>
    </row>
    <row r="7" ht="14.7" customFormat="1" customHeight="1" s="2">
      <c r="B7" s="113">
        <f>"      آدرس: " &amp;Invoice!$C$7</f>
        <v/>
      </c>
      <c r="F7" s="50" t="inlineStr">
        <is>
          <t>آدرس:</t>
        </is>
      </c>
      <c r="G7" s="2">
        <f>Invoice!$C$14</f>
        <v/>
      </c>
      <c r="H7" s="36" t="n"/>
      <c r="I7" s="2">
        <f>IFERROR(VLOOKUP($D$3,Contact!$A$2:$G$334,5,0),"")</f>
        <v/>
      </c>
    </row>
    <row r="9" ht="4.5" customFormat="1" customHeight="1" s="2">
      <c r="F9" s="4" t="n"/>
    </row>
    <row r="10" ht="21" customHeight="1">
      <c r="B10" s="66" t="inlineStr">
        <is>
          <t>ردیف</t>
        </is>
      </c>
      <c r="C10" s="66" t="inlineStr">
        <is>
          <t>شرح کالا</t>
        </is>
      </c>
      <c r="D10" s="114" t="n"/>
      <c r="E10" s="115" t="n"/>
      <c r="F10" s="66" t="inlineStr">
        <is>
          <t>تعداد</t>
        </is>
      </c>
      <c r="G10" s="66" t="inlineStr">
        <is>
          <t>سنجش</t>
        </is>
      </c>
      <c r="H10" s="66" t="inlineStr">
        <is>
          <t>قیمت واحد</t>
        </is>
      </c>
      <c r="I10" s="66" t="inlineStr">
        <is>
          <t>قیمت کل</t>
        </is>
      </c>
      <c r="J10" s="6" t="n"/>
      <c r="K10" s="6" t="n"/>
    </row>
    <row r="11" ht="18.75" customHeight="1">
      <c r="B11" s="29">
        <f>Invoice!B18</f>
        <v/>
      </c>
      <c r="C11" s="30">
        <f>Invoice!C18</f>
        <v/>
      </c>
      <c r="D11" s="31" t="n"/>
      <c r="E11" s="32" t="n"/>
      <c r="F11" s="29">
        <f>Invoice!F18</f>
        <v/>
      </c>
      <c r="G11" s="29">
        <f>Invoice!G18</f>
        <v/>
      </c>
      <c r="H11" s="29">
        <f>Invoice!H18</f>
        <v/>
      </c>
      <c r="I11" s="33">
        <f>H11*F11</f>
        <v/>
      </c>
      <c r="J11" s="5" t="n"/>
      <c r="K11" s="5" t="n"/>
    </row>
    <row r="12" ht="18.75" customHeight="1">
      <c r="B12" s="29">
        <f>Invoice!B19</f>
        <v/>
      </c>
      <c r="C12" s="30">
        <f>Invoice!C19</f>
        <v/>
      </c>
      <c r="D12" s="31" t="n"/>
      <c r="E12" s="32" t="n"/>
      <c r="F12" s="29">
        <f>Invoice!F19</f>
        <v/>
      </c>
      <c r="G12" s="29">
        <f>Invoice!G19</f>
        <v/>
      </c>
      <c r="H12" s="29">
        <f>Invoice!H19</f>
        <v/>
      </c>
      <c r="I12" s="33">
        <f>H12*F12</f>
        <v/>
      </c>
      <c r="J12" s="5" t="n"/>
      <c r="K12" s="5" t="n"/>
    </row>
    <row r="13" ht="18.75" customHeight="1">
      <c r="B13" s="29">
        <f>Invoice!B20</f>
        <v/>
      </c>
      <c r="C13" s="30">
        <f>Invoice!C20</f>
        <v/>
      </c>
      <c r="D13" s="31" t="n"/>
      <c r="E13" s="32" t="n"/>
      <c r="F13" s="29">
        <f>Invoice!F20</f>
        <v/>
      </c>
      <c r="G13" s="29">
        <f>Invoice!G20</f>
        <v/>
      </c>
      <c r="H13" s="29">
        <f>Invoice!H20</f>
        <v/>
      </c>
      <c r="I13" s="33">
        <f>H13*F13</f>
        <v/>
      </c>
      <c r="J13" s="5" t="n"/>
      <c r="K13" s="5" t="n"/>
    </row>
    <row r="14" ht="18.75" customHeight="1">
      <c r="B14" s="29">
        <f>Invoice!B21</f>
        <v/>
      </c>
      <c r="C14" s="30">
        <f>Invoice!C21</f>
        <v/>
      </c>
      <c r="D14" s="31" t="n"/>
      <c r="E14" s="32" t="n"/>
      <c r="F14" s="29">
        <f>Invoice!F21</f>
        <v/>
      </c>
      <c r="G14" s="29">
        <f>Invoice!G21</f>
        <v/>
      </c>
      <c r="H14" s="29">
        <f>Invoice!H21</f>
        <v/>
      </c>
      <c r="I14" s="33">
        <f>H14*F14</f>
        <v/>
      </c>
      <c r="J14" s="5" t="n"/>
      <c r="K14" s="5" t="n"/>
    </row>
    <row r="15" ht="18.75" customHeight="1">
      <c r="B15" s="29">
        <f>Invoice!B22</f>
        <v/>
      </c>
      <c r="C15" s="30">
        <f>Invoice!C22</f>
        <v/>
      </c>
      <c r="D15" s="31" t="n"/>
      <c r="E15" s="32" t="n"/>
      <c r="F15" s="29">
        <f>Invoice!F22</f>
        <v/>
      </c>
      <c r="G15" s="29">
        <f>Invoice!G22</f>
        <v/>
      </c>
      <c r="H15" s="29">
        <f>Invoice!H22</f>
        <v/>
      </c>
      <c r="I15" s="33">
        <f>H15*F15</f>
        <v/>
      </c>
      <c r="J15" s="5" t="n"/>
      <c r="K15" s="5" t="n"/>
    </row>
    <row r="16" ht="18.75" customHeight="1">
      <c r="B16" s="2" t="n"/>
      <c r="C16" s="24" t="n"/>
      <c r="D16" s="25" t="n"/>
      <c r="E16" s="34" t="n"/>
      <c r="F16" s="2" t="n"/>
      <c r="G16" s="2" t="n"/>
      <c r="H16" s="26" t="inlineStr">
        <is>
          <t>جمع کل:</t>
        </is>
      </c>
      <c r="I16" s="27">
        <f>SUM(I11:I15)</f>
        <v/>
      </c>
    </row>
    <row r="17" ht="18.75" customFormat="1" customHeight="1" s="2">
      <c r="B17" s="2" t="inlineStr">
        <is>
          <t>نحوه پرداخت:</t>
        </is>
      </c>
      <c r="D17" s="2">
        <f>Invoice!D39</f>
        <v/>
      </c>
      <c r="G17" s="28" t="n"/>
      <c r="H17" s="26" t="inlineStr">
        <is>
          <t>جمع مالیات:</t>
        </is>
      </c>
      <c r="I17" s="27">
        <f>Invoice!$I$39</f>
        <v/>
      </c>
    </row>
    <row r="18" ht="18.75" customHeight="1">
      <c r="B18" s="19" t="inlineStr">
        <is>
          <t>مبلغ به حروف:</t>
        </is>
      </c>
      <c r="C18" s="20" t="n"/>
      <c r="D18" s="63">
        <f>Invoice!D40</f>
        <v/>
      </c>
      <c r="G18" s="116" t="n"/>
      <c r="H18" s="26" t="n"/>
      <c r="I18" s="27">
        <f>Invoice!$I$40</f>
        <v/>
      </c>
    </row>
    <row r="19" ht="18.75" customHeight="1">
      <c r="B19" s="20" t="n"/>
      <c r="C19" s="20" t="n"/>
      <c r="G19" s="116" t="n"/>
      <c r="H19" s="26" t="n"/>
      <c r="I19" s="27">
        <f>I16+I17-I18</f>
        <v/>
      </c>
    </row>
    <row r="20">
      <c r="K20" s="1" t="inlineStr">
        <is>
          <t xml:space="preserve">تا کنون تعداد  2   فاکتور با اين نرم افزار صادر کرده ايد </t>
        </is>
      </c>
    </row>
    <row r="31" ht="18.35" customFormat="1" customHeight="1" s="5"/>
  </sheetData>
  <mergeCells count="6">
    <mergeCell ref="D18:G19"/>
    <mergeCell ref="D5:E5"/>
    <mergeCell ref="B7:E7"/>
    <mergeCell ref="D1:G1"/>
    <mergeCell ref="D3:E3"/>
    <mergeCell ref="C10:E10"/>
  </mergeCells>
  <pageMargins left="0.25" right="0.1" top="0.23" bottom="0.1" header="0.08" footer="0.05"/>
  <pageSetup orientation="landscape" paperSize="1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Nader</dc:creator>
  <dcterms:created xsi:type="dcterms:W3CDTF">2016-12-02T08:53:37Z</dcterms:created>
  <dcterms:modified xsi:type="dcterms:W3CDTF">2026-09-03T22:13:42Z</dcterms:modified>
  <cp:lastModifiedBy>Nader Bahri</cp:lastModifiedBy>
  <cp:lastPrinted>2020-02-26T13:21:12Z</cp:lastPrinted>
</cp:coreProperties>
</file>